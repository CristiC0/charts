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zator\Desktop\"/>
    </mc:Choice>
  </mc:AlternateContent>
  <xr:revisionPtr revIDLastSave="0" documentId="13_ncr:1_{6051ADF6-984E-4C87-AB37-C5B8D162D362}" xr6:coauthVersionLast="47" xr6:coauthVersionMax="47" xr10:uidLastSave="{00000000-0000-0000-0000-000000000000}"/>
  <bookViews>
    <workbookView xWindow="-108" yWindow="-108" windowWidth="23256" windowHeight="12456" activeTab="1" xr2:uid="{D942AA41-11EE-4A93-AF58-5088D75BB653}"/>
  </bookViews>
  <sheets>
    <sheet name="martie2026" sheetId="1" r:id="rId1"/>
    <sheet name="martie2025v2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2" i="7" l="1"/>
  <c r="G42" i="7"/>
  <c r="K33" i="7"/>
  <c r="K34" i="7"/>
  <c r="K35" i="7"/>
  <c r="K36" i="7"/>
  <c r="K37" i="7"/>
  <c r="K38" i="7"/>
  <c r="K39" i="7"/>
  <c r="K40" i="7"/>
  <c r="K27" i="7"/>
  <c r="K28" i="7"/>
  <c r="K29" i="7"/>
  <c r="K30" i="7"/>
  <c r="K31" i="7"/>
  <c r="K3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7" i="7"/>
  <c r="K8" i="7"/>
  <c r="K9" i="7"/>
  <c r="K10" i="7"/>
  <c r="K11" i="7"/>
  <c r="K12" i="7"/>
  <c r="K6" i="7"/>
  <c r="K5" i="7"/>
  <c r="G5" i="7"/>
  <c r="G40" i="7"/>
  <c r="G31" i="7"/>
  <c r="G32" i="7"/>
  <c r="G33" i="7"/>
  <c r="G34" i="7"/>
  <c r="G35" i="7"/>
  <c r="G36" i="7"/>
  <c r="G37" i="7"/>
  <c r="G38" i="7"/>
  <c r="G39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7" i="7"/>
  <c r="G8" i="7"/>
  <c r="G9" i="7"/>
  <c r="G10" i="7"/>
  <c r="G11" i="7"/>
  <c r="G12" i="7"/>
  <c r="G13" i="7"/>
  <c r="G6" i="7"/>
  <c r="E42" i="7"/>
  <c r="M42" i="7"/>
  <c r="L42" i="7"/>
  <c r="J42" i="7"/>
  <c r="I42" i="7"/>
  <c r="H42" i="7"/>
  <c r="F42" i="7"/>
  <c r="D42" i="7"/>
  <c r="N47" i="1"/>
  <c r="M47" i="1"/>
  <c r="L47" i="1"/>
  <c r="L30" i="1"/>
  <c r="L31" i="1"/>
  <c r="L32" i="1"/>
  <c r="L33" i="1"/>
  <c r="L34" i="1"/>
  <c r="L35" i="1"/>
  <c r="L36" i="1"/>
  <c r="L37" i="1"/>
  <c r="L38" i="1"/>
  <c r="L39" i="1"/>
  <c r="L40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7" i="1"/>
  <c r="L8" i="1"/>
  <c r="L9" i="1"/>
  <c r="L10" i="1"/>
  <c r="L11" i="1"/>
  <c r="L12" i="1"/>
  <c r="L13" i="1"/>
  <c r="L14" i="1"/>
  <c r="L6" i="1"/>
  <c r="L5" i="1"/>
  <c r="H5" i="1"/>
  <c r="K47" i="1"/>
  <c r="J47" i="1"/>
  <c r="I47" i="1"/>
  <c r="H47" i="1"/>
  <c r="G47" i="1"/>
  <c r="F47" i="1"/>
  <c r="E47" i="1"/>
  <c r="D47" i="1"/>
  <c r="H40" i="1"/>
  <c r="H38" i="1"/>
  <c r="H39" i="1"/>
  <c r="H27" i="1"/>
  <c r="H28" i="1"/>
  <c r="H29" i="1"/>
  <c r="H30" i="1"/>
  <c r="H31" i="1"/>
  <c r="H32" i="1"/>
  <c r="H33" i="1"/>
  <c r="H34" i="1"/>
  <c r="H35" i="1"/>
  <c r="H36" i="1"/>
  <c r="H37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7" i="1"/>
  <c r="H8" i="1"/>
  <c r="H9" i="1"/>
  <c r="H10" i="1"/>
  <c r="H11" i="1"/>
  <c r="H12" i="1"/>
  <c r="H13" i="1"/>
  <c r="H6" i="1"/>
</calcChain>
</file>

<file path=xl/sharedStrings.xml><?xml version="1.0" encoding="utf-8"?>
<sst xmlns="http://schemas.openxmlformats.org/spreadsheetml/2006/main" count="175" uniqueCount="87">
  <si>
    <t>Nr. crt.</t>
  </si>
  <si>
    <t>Raionul/</t>
  </si>
  <si>
    <t>municipiul</t>
  </si>
  <si>
    <t>Număr de specialiști SAP</t>
  </si>
  <si>
    <t>Evaluarea complexă</t>
  </si>
  <si>
    <t>Reevaluarea complexă</t>
  </si>
  <si>
    <t>Asistența psihopedagogică</t>
  </si>
  <si>
    <t>Număr de copii evaluați din grădiniță</t>
  </si>
  <si>
    <t>Număr de elevi evaluați din școală</t>
  </si>
  <si>
    <t>Număr elevi evaluați din ÎPT</t>
  </si>
  <si>
    <t>Număr de copii reevaluați din grădiniță</t>
  </si>
  <si>
    <t>Număr de elevi reevaluați din școală</t>
  </si>
  <si>
    <t>Număr elevi reevaluați din ÎPT</t>
  </si>
  <si>
    <t>Număr de copii asistați</t>
  </si>
  <si>
    <t>Număr de ședințe</t>
  </si>
  <si>
    <t>1.</t>
  </si>
  <si>
    <t>Anenii Noi</t>
  </si>
  <si>
    <t>2.</t>
  </si>
  <si>
    <t>Bălți</t>
  </si>
  <si>
    <t>3.</t>
  </si>
  <si>
    <t>Basarabeasca</t>
  </si>
  <si>
    <t>4.</t>
  </si>
  <si>
    <t>Briceni</t>
  </si>
  <si>
    <t>5.</t>
  </si>
  <si>
    <t>Cahul</t>
  </si>
  <si>
    <t>6.</t>
  </si>
  <si>
    <t>Călărași</t>
  </si>
  <si>
    <t>7.</t>
  </si>
  <si>
    <t>Cantemir</t>
  </si>
  <si>
    <t>8.</t>
  </si>
  <si>
    <t>Căușeni</t>
  </si>
  <si>
    <t>9.</t>
  </si>
  <si>
    <t>Chișinău</t>
  </si>
  <si>
    <t>10.</t>
  </si>
  <si>
    <t>Cimișlia</t>
  </si>
  <si>
    <t>11.</t>
  </si>
  <si>
    <t>Criuleni</t>
  </si>
  <si>
    <t>12.</t>
  </si>
  <si>
    <t>Dondușeni</t>
  </si>
  <si>
    <t>13.</t>
  </si>
  <si>
    <t>Drochia</t>
  </si>
  <si>
    <t>14.</t>
  </si>
  <si>
    <t>Dubăsari</t>
  </si>
  <si>
    <t>15.</t>
  </si>
  <si>
    <t>Edineț</t>
  </si>
  <si>
    <t>16.</t>
  </si>
  <si>
    <t>Fălești</t>
  </si>
  <si>
    <t>17.</t>
  </si>
  <si>
    <t>Florești</t>
  </si>
  <si>
    <t>18.</t>
  </si>
  <si>
    <t>Glodeni</t>
  </si>
  <si>
    <t>19.</t>
  </si>
  <si>
    <t>Hîncești</t>
  </si>
  <si>
    <t>20.</t>
  </si>
  <si>
    <t>Ialoveni</t>
  </si>
  <si>
    <t>21.</t>
  </si>
  <si>
    <t>Leova</t>
  </si>
  <si>
    <t>22.</t>
  </si>
  <si>
    <t>Nisporeni</t>
  </si>
  <si>
    <t>23.</t>
  </si>
  <si>
    <t>Ocnița</t>
  </si>
  <si>
    <t>24.</t>
  </si>
  <si>
    <t>Orhei</t>
  </si>
  <si>
    <t>25.</t>
  </si>
  <si>
    <t>Rezina</t>
  </si>
  <si>
    <t>26.</t>
  </si>
  <si>
    <t>Rîșcani</t>
  </si>
  <si>
    <t>27.</t>
  </si>
  <si>
    <t>Sîngerei</t>
  </si>
  <si>
    <t>28.</t>
  </si>
  <si>
    <t>Soroca</t>
  </si>
  <si>
    <t>29.</t>
  </si>
  <si>
    <t>Şoldănești</t>
  </si>
  <si>
    <t>30.</t>
  </si>
  <si>
    <t>Ștefan-Vodă</t>
  </si>
  <si>
    <t>31.</t>
  </si>
  <si>
    <t>Strășeni</t>
  </si>
  <si>
    <t>32.</t>
  </si>
  <si>
    <t>Taraclia</t>
  </si>
  <si>
    <t>33.</t>
  </si>
  <si>
    <t>Telenești</t>
  </si>
  <si>
    <t>34.</t>
  </si>
  <si>
    <t>Ungheni</t>
  </si>
  <si>
    <t>35.</t>
  </si>
  <si>
    <t>UTAG</t>
  </si>
  <si>
    <t>Total: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</si>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</sst>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12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2"/>
      <color theme="1"/>
      <name val="Times New Roman"/>
      <family val="1"/>
      <charset val="238"/>
    </font>
    <font>
      <sz val="10"/>
      <color theme="1"/>
      <name val="Arial"/>
      <family val="2"/>
      <charset val="238"/>
    </font>
    <font>
      <sz val="10"/>
      <color rgb="FF434343"/>
      <name val="Arial"/>
      <family val="2"/>
      <charset val="238"/>
    </font>
    <font>
      <b/>
      <sz val="12"/>
      <color rgb="FF000000"/>
      <name val="Times New Roman"/>
      <family val="1"/>
      <charset val="238"/>
    </font>
    <font>
      <b/>
      <sz val="11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b/>
      <sz val="14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</fonts>
  <fills count="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0" fontId="6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top" wrapText="1"/>
    </xf>
    <xf numFmtId="0" fontId="6" fillId="3" borderId="8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vertical="top" wrapText="1"/>
    </xf>
    <xf numFmtId="0" fontId="6" fillId="4" borderId="8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vertical="top" wrapText="1"/>
    </xf>
    <xf numFmtId="0" fontId="6" fillId="5" borderId="8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4" fillId="5" borderId="4" xfId="0" applyFont="1" applyFill="1" applyBorder="1" applyAlignment="1">
      <alignment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9F059-9156-4F4C-BC73-11F08CD45F19}">
  <dimension ref="B2:P47"/>
  <sheetViews>
    <sheetView workbookViewId="0">
      <selection activeCell="O4" sqref="O4:P4"/>
    </sheetView>
  </sheetViews>
  <sheetFormatPr defaultRowHeight="14.4" x14ac:dyDescent="0.3"/>
  <sheetData>
    <row r="2" spans="2:16" ht="15" thickBot="1" x14ac:dyDescent="0.35"/>
    <row r="3" spans="2:16" ht="31.2" customHeight="1" thickBot="1" x14ac:dyDescent="0.35">
      <c r="B3" s="31" t="s">
        <v>0</v>
      </c>
      <c r="C3" s="1" t="s">
        <v>1</v>
      </c>
      <c r="D3" s="33" t="s">
        <v>3</v>
      </c>
      <c r="E3" s="35" t="s">
        <v>4</v>
      </c>
      <c r="F3" s="36"/>
      <c r="G3" s="37"/>
      <c r="H3" s="15" t="s">
        <v>86</v>
      </c>
      <c r="I3" s="38" t="s">
        <v>5</v>
      </c>
      <c r="J3" s="39"/>
      <c r="K3" s="40"/>
      <c r="L3" s="18" t="s">
        <v>86</v>
      </c>
      <c r="M3" s="41" t="s">
        <v>6</v>
      </c>
      <c r="N3" s="42"/>
      <c r="O3" s="43"/>
      <c r="P3" s="28"/>
    </row>
    <row r="4" spans="2:16" ht="94.2" thickBot="1" x14ac:dyDescent="0.35">
      <c r="B4" s="32"/>
      <c r="C4" s="2" t="s">
        <v>2</v>
      </c>
      <c r="D4" s="34"/>
      <c r="E4" s="13" t="s">
        <v>7</v>
      </c>
      <c r="F4" s="13" t="s">
        <v>8</v>
      </c>
      <c r="G4" s="13" t="s">
        <v>9</v>
      </c>
      <c r="H4" s="16"/>
      <c r="I4" s="14" t="s">
        <v>10</v>
      </c>
      <c r="J4" s="14" t="s">
        <v>11</v>
      </c>
      <c r="K4" s="14" t="s">
        <v>12</v>
      </c>
      <c r="L4" s="19"/>
      <c r="M4" s="23" t="s">
        <v>13</v>
      </c>
      <c r="N4" s="23" t="s">
        <v>14</v>
      </c>
      <c r="O4" s="43"/>
      <c r="P4" s="28"/>
    </row>
    <row r="5" spans="2:16" ht="31.8" thickBot="1" x14ac:dyDescent="0.35">
      <c r="B5" s="3" t="s">
        <v>15</v>
      </c>
      <c r="C5" s="4" t="s">
        <v>16</v>
      </c>
      <c r="D5" s="5">
        <v>6</v>
      </c>
      <c r="E5" s="5">
        <v>11</v>
      </c>
      <c r="F5" s="5">
        <v>12</v>
      </c>
      <c r="G5" s="5">
        <v>0</v>
      </c>
      <c r="H5" s="21">
        <f>SUM(D5:G5)</f>
        <v>29</v>
      </c>
      <c r="I5" s="5">
        <v>7</v>
      </c>
      <c r="J5" s="5">
        <v>13</v>
      </c>
      <c r="K5" s="5">
        <v>0</v>
      </c>
      <c r="L5" s="22">
        <f>SUM(I5:K5)</f>
        <v>20</v>
      </c>
      <c r="M5" s="24">
        <v>30</v>
      </c>
      <c r="N5" s="24">
        <v>131</v>
      </c>
      <c r="O5" s="27"/>
      <c r="P5" s="28"/>
    </row>
    <row r="6" spans="2:16" ht="16.2" thickBot="1" x14ac:dyDescent="0.35">
      <c r="B6" s="3" t="s">
        <v>17</v>
      </c>
      <c r="C6" s="4" t="s">
        <v>18</v>
      </c>
      <c r="D6" s="5">
        <v>9</v>
      </c>
      <c r="E6" s="5">
        <v>25</v>
      </c>
      <c r="F6" s="5">
        <v>3</v>
      </c>
      <c r="G6" s="5">
        <v>0</v>
      </c>
      <c r="H6" s="21">
        <f>SUM(D6:G6)</f>
        <v>37</v>
      </c>
      <c r="I6" s="5">
        <v>17</v>
      </c>
      <c r="J6" s="5">
        <v>9</v>
      </c>
      <c r="K6" s="5">
        <v>0</v>
      </c>
      <c r="L6" s="22">
        <f>SUM(I6:K6)</f>
        <v>26</v>
      </c>
      <c r="M6" s="24">
        <v>1091</v>
      </c>
      <c r="N6" s="24">
        <v>115</v>
      </c>
      <c r="O6" s="27"/>
      <c r="P6" s="28"/>
    </row>
    <row r="7" spans="2:16" ht="31.8" thickBot="1" x14ac:dyDescent="0.35">
      <c r="B7" s="3" t="s">
        <v>19</v>
      </c>
      <c r="C7" s="4" t="s">
        <v>20</v>
      </c>
      <c r="D7" s="5">
        <v>3</v>
      </c>
      <c r="E7" s="5">
        <v>0</v>
      </c>
      <c r="F7" s="5">
        <v>5</v>
      </c>
      <c r="G7" s="5">
        <v>0</v>
      </c>
      <c r="H7" s="21">
        <f t="shared" ref="H7:H26" si="0">SUM(D7:G7)</f>
        <v>8</v>
      </c>
      <c r="I7" s="5">
        <v>1</v>
      </c>
      <c r="J7" s="5">
        <v>12</v>
      </c>
      <c r="K7" s="5">
        <v>0</v>
      </c>
      <c r="L7" s="22">
        <f t="shared" ref="L7:L29" si="1">SUM(I7:K7)</f>
        <v>13</v>
      </c>
      <c r="M7" s="24">
        <v>18</v>
      </c>
      <c r="N7" s="24">
        <v>46</v>
      </c>
      <c r="O7" s="27"/>
      <c r="P7" s="28"/>
    </row>
    <row r="8" spans="2:16" ht="16.2" thickBot="1" x14ac:dyDescent="0.35">
      <c r="B8" s="3" t="s">
        <v>21</v>
      </c>
      <c r="C8" s="4" t="s">
        <v>22</v>
      </c>
      <c r="D8" s="5">
        <v>6</v>
      </c>
      <c r="E8" s="5">
        <v>4</v>
      </c>
      <c r="F8" s="5">
        <v>1</v>
      </c>
      <c r="G8" s="5">
        <v>0</v>
      </c>
      <c r="H8" s="21">
        <f t="shared" si="0"/>
        <v>11</v>
      </c>
      <c r="I8" s="5">
        <v>6</v>
      </c>
      <c r="J8" s="5">
        <v>38</v>
      </c>
      <c r="K8" s="5">
        <v>0</v>
      </c>
      <c r="L8" s="22">
        <f t="shared" si="1"/>
        <v>44</v>
      </c>
      <c r="M8" s="24">
        <v>23</v>
      </c>
      <c r="N8" s="24">
        <v>124</v>
      </c>
      <c r="O8" s="27"/>
      <c r="P8" s="28"/>
    </row>
    <row r="9" spans="2:16" ht="16.2" thickBot="1" x14ac:dyDescent="0.35">
      <c r="B9" s="3" t="s">
        <v>23</v>
      </c>
      <c r="C9" s="4" t="s">
        <v>24</v>
      </c>
      <c r="D9" s="5">
        <v>7</v>
      </c>
      <c r="E9" s="5">
        <v>7</v>
      </c>
      <c r="F9" s="5">
        <v>9</v>
      </c>
      <c r="G9" s="5">
        <v>0</v>
      </c>
      <c r="H9" s="21">
        <f t="shared" si="0"/>
        <v>23</v>
      </c>
      <c r="I9" s="5">
        <v>8</v>
      </c>
      <c r="J9" s="5">
        <v>34</v>
      </c>
      <c r="K9" s="5">
        <v>0</v>
      </c>
      <c r="L9" s="22">
        <f t="shared" si="1"/>
        <v>42</v>
      </c>
      <c r="M9" s="24">
        <v>86</v>
      </c>
      <c r="N9" s="24">
        <v>188</v>
      </c>
      <c r="O9" s="27"/>
      <c r="P9" s="28"/>
    </row>
    <row r="10" spans="2:16" ht="16.2" thickBot="1" x14ac:dyDescent="0.35">
      <c r="B10" s="3" t="s">
        <v>25</v>
      </c>
      <c r="C10" s="4" t="s">
        <v>26</v>
      </c>
      <c r="D10" s="5">
        <v>3</v>
      </c>
      <c r="E10" s="5">
        <v>5</v>
      </c>
      <c r="F10" s="5">
        <v>13</v>
      </c>
      <c r="G10" s="5">
        <v>0</v>
      </c>
      <c r="H10" s="21">
        <f t="shared" si="0"/>
        <v>21</v>
      </c>
      <c r="I10" s="5">
        <v>5</v>
      </c>
      <c r="J10" s="5">
        <v>23</v>
      </c>
      <c r="K10" s="5">
        <v>0</v>
      </c>
      <c r="L10" s="22">
        <f t="shared" si="1"/>
        <v>28</v>
      </c>
      <c r="M10" s="24">
        <v>39</v>
      </c>
      <c r="N10" s="24">
        <v>122</v>
      </c>
      <c r="O10" s="27"/>
      <c r="P10" s="28"/>
    </row>
    <row r="11" spans="2:16" ht="31.8" thickBot="1" x14ac:dyDescent="0.35">
      <c r="B11" s="3" t="s">
        <v>27</v>
      </c>
      <c r="C11" s="4" t="s">
        <v>28</v>
      </c>
      <c r="D11" s="5">
        <v>4</v>
      </c>
      <c r="E11" s="5">
        <v>9</v>
      </c>
      <c r="F11" s="5">
        <v>14</v>
      </c>
      <c r="G11" s="5">
        <v>0</v>
      </c>
      <c r="H11" s="21">
        <f t="shared" si="0"/>
        <v>27</v>
      </c>
      <c r="I11" s="5">
        <v>8</v>
      </c>
      <c r="J11" s="5">
        <v>19</v>
      </c>
      <c r="K11" s="5">
        <v>0</v>
      </c>
      <c r="L11" s="22">
        <f t="shared" si="1"/>
        <v>27</v>
      </c>
      <c r="M11" s="24">
        <v>130</v>
      </c>
      <c r="N11" s="24">
        <v>92</v>
      </c>
      <c r="O11" s="27"/>
      <c r="P11" s="28"/>
    </row>
    <row r="12" spans="2:16" ht="16.2" thickBot="1" x14ac:dyDescent="0.35">
      <c r="B12" s="3" t="s">
        <v>29</v>
      </c>
      <c r="C12" s="4" t="s">
        <v>30</v>
      </c>
      <c r="D12" s="5">
        <v>4</v>
      </c>
      <c r="E12" s="5">
        <v>7</v>
      </c>
      <c r="F12" s="5">
        <v>15</v>
      </c>
      <c r="G12" s="5">
        <v>0</v>
      </c>
      <c r="H12" s="21">
        <f t="shared" si="0"/>
        <v>26</v>
      </c>
      <c r="I12" s="5">
        <v>13</v>
      </c>
      <c r="J12" s="5">
        <v>27</v>
      </c>
      <c r="K12" s="5">
        <v>3</v>
      </c>
      <c r="L12" s="22">
        <f t="shared" si="1"/>
        <v>43</v>
      </c>
      <c r="M12" s="24">
        <v>11</v>
      </c>
      <c r="N12" s="24">
        <v>53</v>
      </c>
      <c r="O12" s="27"/>
      <c r="P12" s="28"/>
    </row>
    <row r="13" spans="2:16" ht="16.2" thickBot="1" x14ac:dyDescent="0.35">
      <c r="B13" s="3" t="s">
        <v>31</v>
      </c>
      <c r="C13" s="4" t="s">
        <v>32</v>
      </c>
      <c r="D13" s="5">
        <v>14</v>
      </c>
      <c r="E13" s="5">
        <v>19</v>
      </c>
      <c r="F13" s="5">
        <v>28</v>
      </c>
      <c r="G13" s="5">
        <v>0</v>
      </c>
      <c r="H13" s="21">
        <f t="shared" si="0"/>
        <v>61</v>
      </c>
      <c r="I13" s="5">
        <v>31</v>
      </c>
      <c r="J13" s="5">
        <v>38</v>
      </c>
      <c r="K13" s="5">
        <v>0</v>
      </c>
      <c r="L13" s="22">
        <f t="shared" si="1"/>
        <v>69</v>
      </c>
      <c r="M13" s="24">
        <v>141</v>
      </c>
      <c r="N13" s="24">
        <v>33</v>
      </c>
      <c r="O13" s="27"/>
      <c r="P13" s="28"/>
    </row>
    <row r="14" spans="2:16" ht="16.2" thickBot="1" x14ac:dyDescent="0.35">
      <c r="B14" s="3" t="s">
        <v>33</v>
      </c>
      <c r="C14" s="4" t="s">
        <v>34</v>
      </c>
      <c r="D14" s="5">
        <v>3</v>
      </c>
      <c r="E14" s="5">
        <v>8</v>
      </c>
      <c r="F14" s="5">
        <v>3</v>
      </c>
      <c r="G14" s="5">
        <v>0</v>
      </c>
      <c r="H14" s="21">
        <f t="shared" si="0"/>
        <v>14</v>
      </c>
      <c r="I14" s="5">
        <v>1</v>
      </c>
      <c r="J14" s="5">
        <v>19</v>
      </c>
      <c r="K14" s="5">
        <v>0</v>
      </c>
      <c r="L14" s="22">
        <f t="shared" si="1"/>
        <v>20</v>
      </c>
      <c r="M14" s="24">
        <v>41</v>
      </c>
      <c r="N14" s="24">
        <v>105</v>
      </c>
      <c r="O14" s="27"/>
      <c r="P14" s="28"/>
    </row>
    <row r="15" spans="2:16" ht="16.2" thickBot="1" x14ac:dyDescent="0.35">
      <c r="B15" s="3" t="s">
        <v>35</v>
      </c>
      <c r="C15" s="4" t="s">
        <v>36</v>
      </c>
      <c r="D15" s="5">
        <v>5</v>
      </c>
      <c r="E15" s="5">
        <v>8</v>
      </c>
      <c r="F15" s="5">
        <v>8</v>
      </c>
      <c r="G15" s="5">
        <v>0</v>
      </c>
      <c r="H15" s="21">
        <f t="shared" si="0"/>
        <v>21</v>
      </c>
      <c r="I15" s="5">
        <v>3</v>
      </c>
      <c r="J15" s="5">
        <v>23</v>
      </c>
      <c r="K15" s="5">
        <v>0</v>
      </c>
      <c r="L15" s="22">
        <f t="shared" si="1"/>
        <v>26</v>
      </c>
      <c r="M15" s="24">
        <v>23</v>
      </c>
      <c r="N15" s="24">
        <v>47</v>
      </c>
      <c r="O15" s="27"/>
      <c r="P15" s="28"/>
    </row>
    <row r="16" spans="2:16" ht="31.8" thickBot="1" x14ac:dyDescent="0.35">
      <c r="B16" s="3" t="s">
        <v>37</v>
      </c>
      <c r="C16" s="4" t="s">
        <v>38</v>
      </c>
      <c r="D16" s="5">
        <v>4</v>
      </c>
      <c r="E16" s="5">
        <v>2</v>
      </c>
      <c r="F16" s="5">
        <v>5</v>
      </c>
      <c r="G16" s="5">
        <v>0</v>
      </c>
      <c r="H16" s="21">
        <f t="shared" si="0"/>
        <v>11</v>
      </c>
      <c r="I16" s="5">
        <v>8</v>
      </c>
      <c r="J16" s="5">
        <v>7</v>
      </c>
      <c r="K16" s="5">
        <v>0</v>
      </c>
      <c r="L16" s="22">
        <f t="shared" si="1"/>
        <v>15</v>
      </c>
      <c r="M16" s="24">
        <v>21</v>
      </c>
      <c r="N16" s="24">
        <v>89</v>
      </c>
      <c r="O16" s="27"/>
      <c r="P16" s="28"/>
    </row>
    <row r="17" spans="2:16" ht="16.2" thickBot="1" x14ac:dyDescent="0.35">
      <c r="B17" s="3" t="s">
        <v>39</v>
      </c>
      <c r="C17" s="4" t="s">
        <v>40</v>
      </c>
      <c r="D17" s="6">
        <v>7</v>
      </c>
      <c r="E17" s="6">
        <v>3</v>
      </c>
      <c r="F17" s="6">
        <v>5</v>
      </c>
      <c r="G17" s="6">
        <v>0</v>
      </c>
      <c r="H17" s="21">
        <f t="shared" si="0"/>
        <v>15</v>
      </c>
      <c r="I17" s="6">
        <v>26</v>
      </c>
      <c r="J17" s="6">
        <v>29</v>
      </c>
      <c r="K17" s="6">
        <v>0</v>
      </c>
      <c r="L17" s="22">
        <f t="shared" si="1"/>
        <v>55</v>
      </c>
      <c r="M17" s="24">
        <v>51</v>
      </c>
      <c r="N17" s="24">
        <v>222</v>
      </c>
      <c r="O17" s="27"/>
      <c r="P17" s="28"/>
    </row>
    <row r="18" spans="2:16" ht="31.8" thickBot="1" x14ac:dyDescent="0.35">
      <c r="B18" s="3" t="s">
        <v>41</v>
      </c>
      <c r="C18" s="4" t="s">
        <v>42</v>
      </c>
      <c r="D18" s="5">
        <v>3</v>
      </c>
      <c r="E18" s="5">
        <v>3</v>
      </c>
      <c r="F18" s="5">
        <v>7</v>
      </c>
      <c r="G18" s="5">
        <v>0</v>
      </c>
      <c r="H18" s="21">
        <f t="shared" si="0"/>
        <v>13</v>
      </c>
      <c r="I18" s="5">
        <v>1</v>
      </c>
      <c r="J18" s="5">
        <v>3</v>
      </c>
      <c r="K18" s="5">
        <v>0</v>
      </c>
      <c r="L18" s="22">
        <f t="shared" si="1"/>
        <v>4</v>
      </c>
      <c r="M18" s="24">
        <v>22</v>
      </c>
      <c r="N18" s="24">
        <v>49</v>
      </c>
      <c r="O18" s="27"/>
      <c r="P18" s="28"/>
    </row>
    <row r="19" spans="2:16" ht="16.2" thickBot="1" x14ac:dyDescent="0.35">
      <c r="B19" s="3" t="s">
        <v>43</v>
      </c>
      <c r="C19" s="4" t="s">
        <v>44</v>
      </c>
      <c r="D19" s="5">
        <v>7</v>
      </c>
      <c r="E19" s="5">
        <v>7</v>
      </c>
      <c r="F19" s="5">
        <v>5</v>
      </c>
      <c r="G19" s="5">
        <v>0</v>
      </c>
      <c r="H19" s="21">
        <f t="shared" si="0"/>
        <v>19</v>
      </c>
      <c r="I19" s="5">
        <v>16</v>
      </c>
      <c r="J19" s="5">
        <v>25</v>
      </c>
      <c r="K19" s="5">
        <v>0</v>
      </c>
      <c r="L19" s="22">
        <f t="shared" si="1"/>
        <v>41</v>
      </c>
      <c r="M19" s="24">
        <v>30</v>
      </c>
      <c r="N19" s="24">
        <v>77</v>
      </c>
      <c r="O19" s="27"/>
      <c r="P19" s="28"/>
    </row>
    <row r="20" spans="2:16" ht="16.2" thickBot="1" x14ac:dyDescent="0.35">
      <c r="B20" s="3" t="s">
        <v>45</v>
      </c>
      <c r="C20" s="4" t="s">
        <v>46</v>
      </c>
      <c r="D20" s="5">
        <v>3</v>
      </c>
      <c r="E20" s="5">
        <v>4</v>
      </c>
      <c r="F20" s="5">
        <v>14</v>
      </c>
      <c r="G20" s="5">
        <v>1</v>
      </c>
      <c r="H20" s="21">
        <f t="shared" si="0"/>
        <v>22</v>
      </c>
      <c r="I20" s="5">
        <v>3</v>
      </c>
      <c r="J20" s="5">
        <v>19</v>
      </c>
      <c r="K20" s="5">
        <v>0</v>
      </c>
      <c r="L20" s="22">
        <f t="shared" si="1"/>
        <v>22</v>
      </c>
      <c r="M20" s="24">
        <v>24</v>
      </c>
      <c r="N20" s="24">
        <v>84</v>
      </c>
      <c r="O20" s="27"/>
      <c r="P20" s="28"/>
    </row>
    <row r="21" spans="2:16" ht="16.2" thickBot="1" x14ac:dyDescent="0.35">
      <c r="B21" s="3" t="s">
        <v>47</v>
      </c>
      <c r="C21" s="4" t="s">
        <v>48</v>
      </c>
      <c r="D21" s="5">
        <v>5</v>
      </c>
      <c r="E21" s="7">
        <v>12</v>
      </c>
      <c r="F21" s="5">
        <v>6</v>
      </c>
      <c r="G21" s="5">
        <v>0</v>
      </c>
      <c r="H21" s="21">
        <f t="shared" si="0"/>
        <v>23</v>
      </c>
      <c r="I21" s="5">
        <v>6</v>
      </c>
      <c r="J21" s="5">
        <v>40</v>
      </c>
      <c r="K21" s="5">
        <v>0</v>
      </c>
      <c r="L21" s="22">
        <f t="shared" si="1"/>
        <v>46</v>
      </c>
      <c r="M21" s="24">
        <v>10</v>
      </c>
      <c r="N21" s="24">
        <v>31</v>
      </c>
      <c r="O21" s="27"/>
      <c r="P21" s="28"/>
    </row>
    <row r="22" spans="2:16" ht="16.2" thickBot="1" x14ac:dyDescent="0.35">
      <c r="B22" s="3" t="s">
        <v>49</v>
      </c>
      <c r="C22" s="4" t="s">
        <v>50</v>
      </c>
      <c r="D22" s="5">
        <v>4</v>
      </c>
      <c r="E22" s="5">
        <v>1</v>
      </c>
      <c r="F22" s="5">
        <v>11</v>
      </c>
      <c r="G22" s="5">
        <v>0</v>
      </c>
      <c r="H22" s="21">
        <f t="shared" si="0"/>
        <v>16</v>
      </c>
      <c r="I22" s="5">
        <v>2</v>
      </c>
      <c r="J22" s="5">
        <v>31</v>
      </c>
      <c r="K22" s="5">
        <v>0</v>
      </c>
      <c r="L22" s="22">
        <f t="shared" si="1"/>
        <v>33</v>
      </c>
      <c r="M22" s="24">
        <v>84</v>
      </c>
      <c r="N22" s="24">
        <v>144</v>
      </c>
      <c r="O22" s="27"/>
      <c r="P22" s="28"/>
    </row>
    <row r="23" spans="2:16" ht="16.2" thickBot="1" x14ac:dyDescent="0.35">
      <c r="B23" s="3" t="s">
        <v>51</v>
      </c>
      <c r="C23" s="4" t="s">
        <v>52</v>
      </c>
      <c r="D23" s="5">
        <v>5</v>
      </c>
      <c r="E23" s="5">
        <v>7</v>
      </c>
      <c r="F23" s="5">
        <v>7</v>
      </c>
      <c r="G23" s="5">
        <v>0</v>
      </c>
      <c r="H23" s="21">
        <f t="shared" si="0"/>
        <v>19</v>
      </c>
      <c r="I23" s="5">
        <v>8</v>
      </c>
      <c r="J23" s="5">
        <v>8</v>
      </c>
      <c r="K23" s="5">
        <v>0</v>
      </c>
      <c r="L23" s="22">
        <f t="shared" si="1"/>
        <v>16</v>
      </c>
      <c r="M23" s="24">
        <v>29</v>
      </c>
      <c r="N23" s="24">
        <v>53</v>
      </c>
      <c r="O23" s="27"/>
      <c r="P23" s="28"/>
    </row>
    <row r="24" spans="2:16" ht="16.2" thickBot="1" x14ac:dyDescent="0.35">
      <c r="B24" s="3" t="s">
        <v>53</v>
      </c>
      <c r="C24" s="4" t="s">
        <v>54</v>
      </c>
      <c r="D24" s="5">
        <v>5</v>
      </c>
      <c r="E24" s="5">
        <v>5</v>
      </c>
      <c r="F24" s="5">
        <v>15</v>
      </c>
      <c r="G24" s="5">
        <v>0</v>
      </c>
      <c r="H24" s="21">
        <f t="shared" si="0"/>
        <v>25</v>
      </c>
      <c r="I24" s="5">
        <v>0</v>
      </c>
      <c r="J24" s="5">
        <v>20</v>
      </c>
      <c r="K24" s="5">
        <v>0</v>
      </c>
      <c r="L24" s="22">
        <f t="shared" si="1"/>
        <v>20</v>
      </c>
      <c r="M24" s="24">
        <v>17</v>
      </c>
      <c r="N24" s="24">
        <v>124</v>
      </c>
      <c r="O24" s="27"/>
      <c r="P24" s="28"/>
    </row>
    <row r="25" spans="2:16" ht="16.2" thickBot="1" x14ac:dyDescent="0.35">
      <c r="B25" s="3" t="s">
        <v>55</v>
      </c>
      <c r="C25" s="4" t="s">
        <v>56</v>
      </c>
      <c r="D25" s="5">
        <v>5</v>
      </c>
      <c r="E25" s="5">
        <v>5</v>
      </c>
      <c r="F25" s="5">
        <v>2</v>
      </c>
      <c r="G25" s="5">
        <v>0</v>
      </c>
      <c r="H25" s="21">
        <f t="shared" si="0"/>
        <v>12</v>
      </c>
      <c r="I25" s="5">
        <v>19</v>
      </c>
      <c r="J25" s="5">
        <v>11</v>
      </c>
      <c r="K25" s="5">
        <v>0</v>
      </c>
      <c r="L25" s="22">
        <f t="shared" si="1"/>
        <v>30</v>
      </c>
      <c r="M25" s="24">
        <v>51</v>
      </c>
      <c r="N25" s="24">
        <v>77</v>
      </c>
      <c r="O25" s="27"/>
      <c r="P25" s="28"/>
    </row>
    <row r="26" spans="2:16" ht="31.8" thickBot="1" x14ac:dyDescent="0.35">
      <c r="B26" s="3" t="s">
        <v>57</v>
      </c>
      <c r="C26" s="4" t="s">
        <v>58</v>
      </c>
      <c r="D26" s="5">
        <v>4</v>
      </c>
      <c r="E26" s="5">
        <v>11</v>
      </c>
      <c r="F26" s="5">
        <v>0</v>
      </c>
      <c r="G26" s="5">
        <v>0</v>
      </c>
      <c r="H26" s="21">
        <f t="shared" si="0"/>
        <v>15</v>
      </c>
      <c r="I26" s="5">
        <v>1</v>
      </c>
      <c r="J26" s="5">
        <v>27</v>
      </c>
      <c r="K26" s="5">
        <v>0</v>
      </c>
      <c r="L26" s="22">
        <f t="shared" si="1"/>
        <v>28</v>
      </c>
      <c r="M26" s="24">
        <v>33</v>
      </c>
      <c r="N26" s="24">
        <v>114</v>
      </c>
      <c r="O26" s="27"/>
      <c r="P26" s="28"/>
    </row>
    <row r="27" spans="2:16" ht="16.2" thickBot="1" x14ac:dyDescent="0.35">
      <c r="B27" s="3" t="s">
        <v>59</v>
      </c>
      <c r="C27" s="4" t="s">
        <v>60</v>
      </c>
      <c r="D27" s="5">
        <v>2</v>
      </c>
      <c r="E27" s="5">
        <v>8</v>
      </c>
      <c r="F27" s="5">
        <v>10</v>
      </c>
      <c r="G27" s="5">
        <v>0</v>
      </c>
      <c r="H27" s="21">
        <f>SUM(D27:G27)</f>
        <v>20</v>
      </c>
      <c r="I27" s="5">
        <v>1</v>
      </c>
      <c r="J27" s="5">
        <v>16</v>
      </c>
      <c r="K27" s="5">
        <v>0</v>
      </c>
      <c r="L27" s="22">
        <f t="shared" si="1"/>
        <v>17</v>
      </c>
      <c r="M27" s="24">
        <v>14</v>
      </c>
      <c r="N27" s="24">
        <v>78</v>
      </c>
      <c r="O27" s="27"/>
      <c r="P27" s="28"/>
    </row>
    <row r="28" spans="2:16" ht="16.2" thickBot="1" x14ac:dyDescent="0.35">
      <c r="B28" s="3" t="s">
        <v>61</v>
      </c>
      <c r="C28" s="4" t="s">
        <v>62</v>
      </c>
      <c r="D28" s="5">
        <v>5</v>
      </c>
      <c r="E28" s="5">
        <v>10</v>
      </c>
      <c r="F28" s="5">
        <v>7</v>
      </c>
      <c r="G28" s="5">
        <v>0</v>
      </c>
      <c r="H28" s="21">
        <f>SUM(D28:G28)</f>
        <v>22</v>
      </c>
      <c r="I28" s="5">
        <v>11</v>
      </c>
      <c r="J28" s="5">
        <v>3</v>
      </c>
      <c r="K28" s="5">
        <v>0</v>
      </c>
      <c r="L28" s="22">
        <f t="shared" si="1"/>
        <v>14</v>
      </c>
      <c r="M28" s="24">
        <v>66</v>
      </c>
      <c r="N28" s="24">
        <v>119</v>
      </c>
      <c r="O28" s="27"/>
      <c r="P28" s="28"/>
    </row>
    <row r="29" spans="2:16" ht="16.2" thickBot="1" x14ac:dyDescent="0.35">
      <c r="B29" s="3" t="s">
        <v>63</v>
      </c>
      <c r="C29" s="4" t="s">
        <v>64</v>
      </c>
      <c r="D29" s="5">
        <v>3</v>
      </c>
      <c r="E29" s="5">
        <v>1</v>
      </c>
      <c r="F29" s="5">
        <v>7</v>
      </c>
      <c r="G29" s="5">
        <v>1</v>
      </c>
      <c r="H29" s="21">
        <f t="shared" ref="H29:H37" si="2">SUM(D29:G29)</f>
        <v>12</v>
      </c>
      <c r="I29" s="5">
        <v>8</v>
      </c>
      <c r="J29" s="5">
        <v>14</v>
      </c>
      <c r="K29" s="5">
        <v>0</v>
      </c>
      <c r="L29" s="22">
        <f t="shared" si="1"/>
        <v>22</v>
      </c>
      <c r="M29" s="24">
        <v>27</v>
      </c>
      <c r="N29" s="24">
        <v>160</v>
      </c>
      <c r="O29" s="27"/>
      <c r="P29" s="28"/>
    </row>
    <row r="30" spans="2:16" ht="16.2" thickBot="1" x14ac:dyDescent="0.35">
      <c r="B30" s="3" t="s">
        <v>65</v>
      </c>
      <c r="C30" s="4" t="s">
        <v>66</v>
      </c>
      <c r="D30" s="5">
        <v>5</v>
      </c>
      <c r="E30" s="5">
        <v>1</v>
      </c>
      <c r="F30" s="5">
        <v>2</v>
      </c>
      <c r="G30" s="5">
        <v>0</v>
      </c>
      <c r="H30" s="21">
        <f t="shared" si="2"/>
        <v>8</v>
      </c>
      <c r="I30" s="5">
        <v>3</v>
      </c>
      <c r="J30" s="5">
        <v>10</v>
      </c>
      <c r="K30" s="5">
        <v>0</v>
      </c>
      <c r="L30" s="22">
        <f>SUM(I30:K30)</f>
        <v>13</v>
      </c>
      <c r="M30" s="24">
        <v>33</v>
      </c>
      <c r="N30" s="24">
        <v>105</v>
      </c>
      <c r="O30" s="27"/>
      <c r="P30" s="28"/>
    </row>
    <row r="31" spans="2:16" ht="16.2" thickBot="1" x14ac:dyDescent="0.35">
      <c r="B31" s="3" t="s">
        <v>67</v>
      </c>
      <c r="C31" s="4" t="s">
        <v>68</v>
      </c>
      <c r="D31" s="5">
        <v>5</v>
      </c>
      <c r="E31" s="5">
        <v>15</v>
      </c>
      <c r="F31" s="5">
        <v>17</v>
      </c>
      <c r="G31" s="5">
        <v>0</v>
      </c>
      <c r="H31" s="21">
        <f t="shared" si="2"/>
        <v>37</v>
      </c>
      <c r="I31" s="5">
        <v>5</v>
      </c>
      <c r="J31" s="5">
        <v>24</v>
      </c>
      <c r="K31" s="5">
        <v>1</v>
      </c>
      <c r="L31" s="22">
        <f>SUM(I31:K31)</f>
        <v>30</v>
      </c>
      <c r="M31" s="24">
        <v>29</v>
      </c>
      <c r="N31" s="24">
        <v>80</v>
      </c>
      <c r="O31" s="27"/>
      <c r="P31" s="28"/>
    </row>
    <row r="32" spans="2:16" ht="16.2" thickBot="1" x14ac:dyDescent="0.35">
      <c r="B32" s="3" t="s">
        <v>69</v>
      </c>
      <c r="C32" s="4" t="s">
        <v>70</v>
      </c>
      <c r="D32" s="8">
        <v>6</v>
      </c>
      <c r="E32" s="8">
        <v>5</v>
      </c>
      <c r="F32" s="8">
        <v>7</v>
      </c>
      <c r="G32" s="8">
        <v>0</v>
      </c>
      <c r="H32" s="21">
        <f t="shared" si="2"/>
        <v>18</v>
      </c>
      <c r="I32" s="8">
        <v>15</v>
      </c>
      <c r="J32" s="8">
        <v>16</v>
      </c>
      <c r="K32" s="8">
        <v>1</v>
      </c>
      <c r="L32" s="22">
        <f t="shared" ref="L32:L40" si="3">SUM(I32:K32)</f>
        <v>32</v>
      </c>
      <c r="M32" s="24">
        <v>27</v>
      </c>
      <c r="N32" s="24">
        <v>111</v>
      </c>
      <c r="O32" s="27"/>
      <c r="P32" s="28"/>
    </row>
    <row r="33" spans="2:16" ht="31.8" thickBot="1" x14ac:dyDescent="0.35">
      <c r="B33" s="3" t="s">
        <v>71</v>
      </c>
      <c r="C33" s="4" t="s">
        <v>72</v>
      </c>
      <c r="D33" s="5">
        <v>5</v>
      </c>
      <c r="E33" s="5">
        <v>6</v>
      </c>
      <c r="F33" s="5">
        <v>1</v>
      </c>
      <c r="G33" s="5">
        <v>0</v>
      </c>
      <c r="H33" s="21">
        <f t="shared" si="2"/>
        <v>12</v>
      </c>
      <c r="I33" s="5">
        <v>0</v>
      </c>
      <c r="J33" s="5">
        <v>24</v>
      </c>
      <c r="K33" s="5">
        <v>0</v>
      </c>
      <c r="L33" s="22">
        <f t="shared" si="3"/>
        <v>24</v>
      </c>
      <c r="M33" s="24">
        <v>31</v>
      </c>
      <c r="N33" s="24">
        <v>212</v>
      </c>
      <c r="O33" s="27"/>
      <c r="P33" s="28"/>
    </row>
    <row r="34" spans="2:16" ht="31.8" thickBot="1" x14ac:dyDescent="0.35">
      <c r="B34" s="3" t="s">
        <v>73</v>
      </c>
      <c r="C34" s="4" t="s">
        <v>74</v>
      </c>
      <c r="D34" s="5">
        <v>4</v>
      </c>
      <c r="E34" s="5">
        <v>8</v>
      </c>
      <c r="F34" s="5">
        <v>19</v>
      </c>
      <c r="G34" s="5">
        <v>0</v>
      </c>
      <c r="H34" s="21">
        <f t="shared" si="2"/>
        <v>31</v>
      </c>
      <c r="I34" s="5">
        <v>1</v>
      </c>
      <c r="J34" s="5">
        <v>27</v>
      </c>
      <c r="K34" s="5">
        <v>0</v>
      </c>
      <c r="L34" s="22">
        <f t="shared" si="3"/>
        <v>28</v>
      </c>
      <c r="M34" s="24">
        <v>32</v>
      </c>
      <c r="N34" s="24">
        <v>37</v>
      </c>
      <c r="O34" s="27"/>
      <c r="P34" s="28"/>
    </row>
    <row r="35" spans="2:16" ht="16.2" thickBot="1" x14ac:dyDescent="0.35">
      <c r="B35" s="3" t="s">
        <v>75</v>
      </c>
      <c r="C35" s="4" t="s">
        <v>76</v>
      </c>
      <c r="D35" s="5">
        <v>6</v>
      </c>
      <c r="E35" s="5">
        <v>8</v>
      </c>
      <c r="F35" s="5">
        <v>8</v>
      </c>
      <c r="G35" s="5">
        <v>0</v>
      </c>
      <c r="H35" s="21">
        <f t="shared" si="2"/>
        <v>22</v>
      </c>
      <c r="I35" s="5">
        <v>11</v>
      </c>
      <c r="J35" s="5">
        <v>31</v>
      </c>
      <c r="K35" s="5">
        <v>1</v>
      </c>
      <c r="L35" s="22">
        <f t="shared" si="3"/>
        <v>43</v>
      </c>
      <c r="M35" s="24">
        <v>11</v>
      </c>
      <c r="N35" s="24">
        <v>88</v>
      </c>
      <c r="O35" s="27"/>
      <c r="P35" s="28"/>
    </row>
    <row r="36" spans="2:16" ht="16.2" thickBot="1" x14ac:dyDescent="0.35">
      <c r="B36" s="3" t="s">
        <v>77</v>
      </c>
      <c r="C36" s="4" t="s">
        <v>78</v>
      </c>
      <c r="D36" s="6">
        <v>3</v>
      </c>
      <c r="E36" s="6">
        <v>0</v>
      </c>
      <c r="F36" s="6">
        <v>10</v>
      </c>
      <c r="G36" s="6">
        <v>0</v>
      </c>
      <c r="H36" s="21">
        <f t="shared" si="2"/>
        <v>13</v>
      </c>
      <c r="I36" s="6">
        <v>11</v>
      </c>
      <c r="J36" s="6">
        <v>10</v>
      </c>
      <c r="K36" s="6">
        <v>0</v>
      </c>
      <c r="L36" s="22">
        <f t="shared" si="3"/>
        <v>21</v>
      </c>
      <c r="M36" s="24">
        <v>21</v>
      </c>
      <c r="N36" s="24">
        <v>27</v>
      </c>
      <c r="O36" s="27"/>
      <c r="P36" s="28"/>
    </row>
    <row r="37" spans="2:16" ht="31.8" thickBot="1" x14ac:dyDescent="0.35">
      <c r="B37" s="3" t="s">
        <v>79</v>
      </c>
      <c r="C37" s="4" t="s">
        <v>80</v>
      </c>
      <c r="D37" s="5">
        <v>4</v>
      </c>
      <c r="E37" s="5">
        <v>3</v>
      </c>
      <c r="F37" s="5">
        <v>4</v>
      </c>
      <c r="G37" s="5">
        <v>0</v>
      </c>
      <c r="H37" s="21">
        <f t="shared" si="2"/>
        <v>11</v>
      </c>
      <c r="I37" s="5">
        <v>3</v>
      </c>
      <c r="J37" s="5">
        <v>29</v>
      </c>
      <c r="K37" s="5">
        <v>0</v>
      </c>
      <c r="L37" s="22">
        <f t="shared" si="3"/>
        <v>32</v>
      </c>
      <c r="M37" s="24">
        <v>5</v>
      </c>
      <c r="N37" s="24">
        <v>15</v>
      </c>
      <c r="O37" s="27"/>
      <c r="P37" s="28"/>
    </row>
    <row r="38" spans="2:16" ht="16.2" thickBot="1" x14ac:dyDescent="0.35">
      <c r="B38" s="3" t="s">
        <v>81</v>
      </c>
      <c r="C38" s="4" t="s">
        <v>82</v>
      </c>
      <c r="D38" s="5">
        <v>7</v>
      </c>
      <c r="E38" s="5">
        <v>3</v>
      </c>
      <c r="F38" s="5">
        <v>11</v>
      </c>
      <c r="G38" s="5">
        <v>0</v>
      </c>
      <c r="H38" s="21">
        <f>SUM(D38:G38)</f>
        <v>21</v>
      </c>
      <c r="I38" s="5">
        <v>3</v>
      </c>
      <c r="J38" s="5">
        <v>10</v>
      </c>
      <c r="K38" s="5">
        <v>0</v>
      </c>
      <c r="L38" s="22">
        <f t="shared" si="3"/>
        <v>13</v>
      </c>
      <c r="M38" s="24">
        <v>41</v>
      </c>
      <c r="N38" s="24">
        <v>132</v>
      </c>
      <c r="O38" s="27"/>
      <c r="P38" s="28"/>
    </row>
    <row r="39" spans="2:16" ht="16.2" thickBot="1" x14ac:dyDescent="0.35">
      <c r="B39" s="3" t="s">
        <v>83</v>
      </c>
      <c r="C39" s="4" t="s">
        <v>84</v>
      </c>
      <c r="D39" s="6">
        <v>3</v>
      </c>
      <c r="E39" s="6">
        <v>11</v>
      </c>
      <c r="F39" s="6">
        <v>12</v>
      </c>
      <c r="G39" s="6">
        <v>0</v>
      </c>
      <c r="H39" s="21">
        <f>SUM(D39:G39)</f>
        <v>26</v>
      </c>
      <c r="I39" s="6">
        <v>15</v>
      </c>
      <c r="J39" s="6">
        <v>17</v>
      </c>
      <c r="K39" s="6">
        <v>0</v>
      </c>
      <c r="L39" s="22">
        <f t="shared" si="3"/>
        <v>32</v>
      </c>
      <c r="M39" s="25">
        <v>11</v>
      </c>
      <c r="N39" s="25">
        <v>25</v>
      </c>
      <c r="O39" s="27"/>
      <c r="P39" s="28"/>
    </row>
    <row r="40" spans="2:16" ht="16.2" thickBot="1" x14ac:dyDescent="0.35">
      <c r="B40" s="29" t="s">
        <v>85</v>
      </c>
      <c r="C40" s="30"/>
      <c r="D40" s="9">
        <v>174</v>
      </c>
      <c r="E40" s="9">
        <v>242</v>
      </c>
      <c r="F40" s="9">
        <v>303</v>
      </c>
      <c r="G40" s="9">
        <v>2</v>
      </c>
      <c r="H40" s="17">
        <f>SUM(D40:G40)</f>
        <v>721</v>
      </c>
      <c r="I40" s="9">
        <v>277</v>
      </c>
      <c r="J40" s="9">
        <v>706</v>
      </c>
      <c r="K40" s="10">
        <v>6</v>
      </c>
      <c r="L40" s="20">
        <f t="shared" si="3"/>
        <v>989</v>
      </c>
      <c r="M40" s="26">
        <v>2353</v>
      </c>
      <c r="N40" s="26">
        <v>3309</v>
      </c>
      <c r="O40" s="11"/>
      <c r="P40" s="12"/>
    </row>
    <row r="47" spans="2:16" x14ac:dyDescent="0.3">
      <c r="D47">
        <f>SUM(D5:D39)</f>
        <v>174</v>
      </c>
      <c r="E47">
        <f>SUM(E5:E39)</f>
        <v>242</v>
      </c>
      <c r="F47">
        <f>SUM(F5:F39)</f>
        <v>303</v>
      </c>
      <c r="G47">
        <f>SUM(G5:G39)</f>
        <v>2</v>
      </c>
      <c r="H47">
        <f>SUM(D47:G47)</f>
        <v>721</v>
      </c>
      <c r="I47">
        <f>SUM(I5:I39)</f>
        <v>277</v>
      </c>
      <c r="J47">
        <f>SUM(J5:J39)</f>
        <v>706</v>
      </c>
      <c r="K47">
        <f>SUM(K5:K39)</f>
        <v>6</v>
      </c>
      <c r="L47">
        <f>SUM(I47:K47)</f>
        <v>989</v>
      </c>
      <c r="M47">
        <f>SUM(M5:M39)</f>
        <v>2353</v>
      </c>
      <c r="N47">
        <f>SUM(N5:N39)</f>
        <v>3309</v>
      </c>
    </row>
  </sheetData>
  <mergeCells count="43">
    <mergeCell ref="O3:P3"/>
    <mergeCell ref="O4:P4"/>
    <mergeCell ref="B3:B4"/>
    <mergeCell ref="D3:D4"/>
    <mergeCell ref="E3:G3"/>
    <mergeCell ref="I3:K3"/>
    <mergeCell ref="M3:N3"/>
    <mergeCell ref="O16:P16"/>
    <mergeCell ref="O5:P5"/>
    <mergeCell ref="O6:P6"/>
    <mergeCell ref="O7:P7"/>
    <mergeCell ref="O8:P8"/>
    <mergeCell ref="O9:P9"/>
    <mergeCell ref="O10:P10"/>
    <mergeCell ref="O11:P11"/>
    <mergeCell ref="O12:P12"/>
    <mergeCell ref="O13:P13"/>
    <mergeCell ref="O14:P14"/>
    <mergeCell ref="O15:P15"/>
    <mergeCell ref="O28:P28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B40:C40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FD14B-A08F-4BE4-8EE2-A7BAB8561834}">
  <dimension ref="B2:O42"/>
  <sheetViews>
    <sheetView tabSelected="1" topLeftCell="A37" workbookViewId="0">
      <selection activeCell="Q47" sqref="Q47"/>
    </sheetView>
  </sheetViews>
  <sheetFormatPr defaultRowHeight="14.4" x14ac:dyDescent="0.3"/>
  <sheetData>
    <row r="2" spans="2:15" ht="15" thickBot="1" x14ac:dyDescent="0.35"/>
    <row r="3" spans="2:15" ht="31.2" customHeight="1" thickBot="1" x14ac:dyDescent="0.35">
      <c r="B3" s="31" t="s">
        <v>0</v>
      </c>
      <c r="C3" s="1" t="s">
        <v>1</v>
      </c>
      <c r="D3" s="52" t="s">
        <v>4</v>
      </c>
      <c r="E3" s="53"/>
      <c r="F3" s="54"/>
      <c r="G3" s="49" t="s">
        <v>86</v>
      </c>
      <c r="H3" s="38" t="s">
        <v>5</v>
      </c>
      <c r="I3" s="39"/>
      <c r="J3" s="40"/>
      <c r="K3" s="18" t="s">
        <v>86</v>
      </c>
      <c r="L3" s="41" t="s">
        <v>6</v>
      </c>
      <c r="M3" s="42"/>
      <c r="N3" s="43"/>
      <c r="O3" s="28"/>
    </row>
    <row r="4" spans="2:15" ht="94.2" thickBot="1" x14ac:dyDescent="0.35">
      <c r="B4" s="32"/>
      <c r="C4" s="2" t="s">
        <v>2</v>
      </c>
      <c r="D4" s="44" t="s">
        <v>7</v>
      </c>
      <c r="E4" s="44" t="s">
        <v>8</v>
      </c>
      <c r="F4" s="44" t="s">
        <v>9</v>
      </c>
      <c r="G4" s="50"/>
      <c r="H4" s="45" t="s">
        <v>10</v>
      </c>
      <c r="I4" s="45" t="s">
        <v>11</v>
      </c>
      <c r="J4" s="45" t="s">
        <v>12</v>
      </c>
      <c r="K4" s="55"/>
      <c r="L4" s="47" t="s">
        <v>13</v>
      </c>
      <c r="M4" s="47" t="s">
        <v>14</v>
      </c>
      <c r="N4" s="43"/>
      <c r="O4" s="28"/>
    </row>
    <row r="5" spans="2:15" ht="31.8" thickBot="1" x14ac:dyDescent="0.35">
      <c r="B5" s="3" t="s">
        <v>15</v>
      </c>
      <c r="C5" s="4" t="s">
        <v>16</v>
      </c>
      <c r="D5" s="5">
        <v>18</v>
      </c>
      <c r="E5" s="5">
        <v>4</v>
      </c>
      <c r="F5" s="46">
        <v>0</v>
      </c>
      <c r="G5" s="58">
        <f>SUM(D5:F5)</f>
        <v>22</v>
      </c>
      <c r="H5" s="5">
        <v>2</v>
      </c>
      <c r="I5" s="5">
        <v>26</v>
      </c>
      <c r="J5" s="46">
        <v>0</v>
      </c>
      <c r="K5" s="57">
        <f>SUM(H5:J5)</f>
        <v>28</v>
      </c>
      <c r="L5" s="24">
        <v>8</v>
      </c>
      <c r="M5" s="24">
        <v>60</v>
      </c>
      <c r="N5" s="27"/>
      <c r="O5" s="28"/>
    </row>
    <row r="6" spans="2:15" ht="18" thickBot="1" x14ac:dyDescent="0.35">
      <c r="B6" s="3" t="s">
        <v>17</v>
      </c>
      <c r="C6" s="4" t="s">
        <v>18</v>
      </c>
      <c r="D6" s="5">
        <v>4</v>
      </c>
      <c r="E6" s="5">
        <v>1</v>
      </c>
      <c r="F6" s="46">
        <v>0</v>
      </c>
      <c r="G6" s="58">
        <f>SUM(D6:F6)</f>
        <v>5</v>
      </c>
      <c r="H6" s="5">
        <v>20</v>
      </c>
      <c r="I6" s="5">
        <v>87</v>
      </c>
      <c r="J6" s="46">
        <v>0</v>
      </c>
      <c r="K6" s="57">
        <f>SUM(H6:J6)</f>
        <v>107</v>
      </c>
      <c r="L6" s="48">
        <v>35</v>
      </c>
      <c r="M6" s="48">
        <v>50</v>
      </c>
      <c r="N6" s="27"/>
      <c r="O6" s="28"/>
    </row>
    <row r="7" spans="2:15" ht="31.8" thickBot="1" x14ac:dyDescent="0.35">
      <c r="B7" s="3" t="s">
        <v>19</v>
      </c>
      <c r="C7" s="4" t="s">
        <v>20</v>
      </c>
      <c r="D7" s="5">
        <v>0</v>
      </c>
      <c r="E7" s="5">
        <v>0</v>
      </c>
      <c r="F7" s="46">
        <v>0</v>
      </c>
      <c r="G7" s="58">
        <f t="shared" ref="G7:G30" si="0">SUM(D7:F7)</f>
        <v>0</v>
      </c>
      <c r="H7" s="5">
        <v>2</v>
      </c>
      <c r="I7" s="5">
        <v>10</v>
      </c>
      <c r="J7" s="46">
        <v>0</v>
      </c>
      <c r="K7" s="57">
        <f t="shared" ref="K7:K26" si="1">SUM(H7:J7)</f>
        <v>12</v>
      </c>
      <c r="L7" s="24">
        <v>13</v>
      </c>
      <c r="M7" s="24">
        <v>13</v>
      </c>
      <c r="N7" s="27"/>
      <c r="O7" s="28"/>
    </row>
    <row r="8" spans="2:15" ht="18" thickBot="1" x14ac:dyDescent="0.35">
      <c r="B8" s="3" t="s">
        <v>21</v>
      </c>
      <c r="C8" s="4" t="s">
        <v>22</v>
      </c>
      <c r="D8" s="5">
        <v>1</v>
      </c>
      <c r="E8" s="5">
        <v>2</v>
      </c>
      <c r="F8" s="46">
        <v>0</v>
      </c>
      <c r="G8" s="58">
        <f t="shared" si="0"/>
        <v>3</v>
      </c>
      <c r="H8" s="5">
        <v>2</v>
      </c>
      <c r="I8" s="5">
        <v>43</v>
      </c>
      <c r="J8" s="46">
        <v>0</v>
      </c>
      <c r="K8" s="57">
        <f t="shared" si="1"/>
        <v>45</v>
      </c>
      <c r="L8" s="48">
        <v>4</v>
      </c>
      <c r="M8" s="48">
        <v>14</v>
      </c>
      <c r="N8" s="27"/>
      <c r="O8" s="28"/>
    </row>
    <row r="9" spans="2:15" ht="18" thickBot="1" x14ac:dyDescent="0.35">
      <c r="B9" s="3" t="s">
        <v>23</v>
      </c>
      <c r="C9" s="4" t="s">
        <v>24</v>
      </c>
      <c r="D9" s="5">
        <v>4</v>
      </c>
      <c r="E9" s="5">
        <v>2</v>
      </c>
      <c r="F9" s="46">
        <v>0</v>
      </c>
      <c r="G9" s="58">
        <f t="shared" si="0"/>
        <v>6</v>
      </c>
      <c r="H9" s="5">
        <v>15</v>
      </c>
      <c r="I9" s="5">
        <v>36</v>
      </c>
      <c r="J9" s="46">
        <v>0</v>
      </c>
      <c r="K9" s="57">
        <f t="shared" si="1"/>
        <v>51</v>
      </c>
      <c r="L9" s="24">
        <v>59</v>
      </c>
      <c r="M9" s="24">
        <v>76</v>
      </c>
      <c r="N9" s="27"/>
      <c r="O9" s="28"/>
    </row>
    <row r="10" spans="2:15" ht="18" thickBot="1" x14ac:dyDescent="0.35">
      <c r="B10" s="3" t="s">
        <v>25</v>
      </c>
      <c r="C10" s="4" t="s">
        <v>26</v>
      </c>
      <c r="D10" s="5">
        <v>2</v>
      </c>
      <c r="E10" s="5">
        <v>12</v>
      </c>
      <c r="F10" s="46">
        <v>0</v>
      </c>
      <c r="G10" s="58">
        <f t="shared" si="0"/>
        <v>14</v>
      </c>
      <c r="H10" s="5">
        <v>9</v>
      </c>
      <c r="I10" s="5">
        <v>46</v>
      </c>
      <c r="J10" s="46">
        <v>0</v>
      </c>
      <c r="K10" s="57">
        <f t="shared" si="1"/>
        <v>55</v>
      </c>
      <c r="L10" s="48">
        <v>6</v>
      </c>
      <c r="M10" s="48">
        <v>22</v>
      </c>
      <c r="N10" s="27"/>
      <c r="O10" s="28"/>
    </row>
    <row r="11" spans="2:15" ht="31.8" thickBot="1" x14ac:dyDescent="0.35">
      <c r="B11" s="3" t="s">
        <v>27</v>
      </c>
      <c r="C11" s="4" t="s">
        <v>28</v>
      </c>
      <c r="D11" s="5">
        <v>0</v>
      </c>
      <c r="E11" s="5">
        <v>12</v>
      </c>
      <c r="F11" s="46">
        <v>0</v>
      </c>
      <c r="G11" s="58">
        <f t="shared" si="0"/>
        <v>12</v>
      </c>
      <c r="H11" s="5">
        <v>15</v>
      </c>
      <c r="I11" s="5">
        <v>30</v>
      </c>
      <c r="J11" s="46">
        <v>0</v>
      </c>
      <c r="K11" s="57">
        <f t="shared" si="1"/>
        <v>45</v>
      </c>
      <c r="L11" s="24">
        <v>30</v>
      </c>
      <c r="M11" s="24">
        <v>27</v>
      </c>
      <c r="N11" s="27"/>
      <c r="O11" s="28"/>
    </row>
    <row r="12" spans="2:15" ht="18" thickBot="1" x14ac:dyDescent="0.35">
      <c r="B12" s="3" t="s">
        <v>29</v>
      </c>
      <c r="C12" s="4" t="s">
        <v>30</v>
      </c>
      <c r="D12" s="5">
        <v>6</v>
      </c>
      <c r="E12" s="5">
        <v>5</v>
      </c>
      <c r="F12" s="46">
        <v>0</v>
      </c>
      <c r="G12" s="58">
        <f t="shared" si="0"/>
        <v>11</v>
      </c>
      <c r="H12" s="5">
        <v>9</v>
      </c>
      <c r="I12" s="5">
        <v>19</v>
      </c>
      <c r="J12" s="46">
        <v>0</v>
      </c>
      <c r="K12" s="57">
        <f t="shared" si="1"/>
        <v>28</v>
      </c>
      <c r="L12" s="48">
        <v>9</v>
      </c>
      <c r="M12" s="48">
        <v>29</v>
      </c>
      <c r="N12" s="27"/>
      <c r="O12" s="28"/>
    </row>
    <row r="13" spans="2:15" ht="18" thickBot="1" x14ac:dyDescent="0.35">
      <c r="B13" s="3" t="s">
        <v>31</v>
      </c>
      <c r="C13" s="4" t="s">
        <v>32</v>
      </c>
      <c r="D13" s="5">
        <v>3</v>
      </c>
      <c r="E13" s="5">
        <v>58</v>
      </c>
      <c r="F13" s="46">
        <v>0</v>
      </c>
      <c r="G13" s="58">
        <f t="shared" si="0"/>
        <v>61</v>
      </c>
      <c r="H13" s="5">
        <v>23</v>
      </c>
      <c r="I13" s="5">
        <v>15</v>
      </c>
      <c r="J13" s="46">
        <v>0</v>
      </c>
      <c r="K13" s="57">
        <f t="shared" si="1"/>
        <v>38</v>
      </c>
      <c r="L13" s="24">
        <v>2</v>
      </c>
      <c r="M13" s="24">
        <v>2</v>
      </c>
      <c r="N13" s="27"/>
      <c r="O13" s="28"/>
    </row>
    <row r="14" spans="2:15" ht="18" thickBot="1" x14ac:dyDescent="0.35">
      <c r="B14" s="3" t="s">
        <v>33</v>
      </c>
      <c r="C14" s="4" t="s">
        <v>34</v>
      </c>
      <c r="D14" s="5">
        <v>0</v>
      </c>
      <c r="E14" s="5">
        <v>0</v>
      </c>
      <c r="F14" s="46">
        <v>0</v>
      </c>
      <c r="G14" s="58">
        <f t="shared" si="0"/>
        <v>0</v>
      </c>
      <c r="H14" s="5">
        <v>5</v>
      </c>
      <c r="I14" s="5">
        <v>22</v>
      </c>
      <c r="J14" s="46">
        <v>0</v>
      </c>
      <c r="K14" s="57">
        <f t="shared" si="1"/>
        <v>27</v>
      </c>
      <c r="L14" s="48">
        <v>33</v>
      </c>
      <c r="M14" s="48">
        <v>46</v>
      </c>
      <c r="N14" s="27"/>
      <c r="O14" s="28"/>
    </row>
    <row r="15" spans="2:15" ht="18" thickBot="1" x14ac:dyDescent="0.35">
      <c r="B15" s="3" t="s">
        <v>35</v>
      </c>
      <c r="C15" s="4" t="s">
        <v>36</v>
      </c>
      <c r="D15" s="5">
        <v>6</v>
      </c>
      <c r="E15" s="5">
        <v>6</v>
      </c>
      <c r="F15" s="46">
        <v>0</v>
      </c>
      <c r="G15" s="58">
        <f t="shared" si="0"/>
        <v>12</v>
      </c>
      <c r="H15" s="5">
        <v>0</v>
      </c>
      <c r="I15" s="5">
        <v>21</v>
      </c>
      <c r="J15" s="46">
        <v>0</v>
      </c>
      <c r="K15" s="57">
        <f t="shared" si="1"/>
        <v>21</v>
      </c>
      <c r="L15" s="24">
        <v>4</v>
      </c>
      <c r="M15" s="24">
        <v>5</v>
      </c>
      <c r="N15" s="27"/>
      <c r="O15" s="28"/>
    </row>
    <row r="16" spans="2:15" ht="31.8" thickBot="1" x14ac:dyDescent="0.35">
      <c r="B16" s="3" t="s">
        <v>37</v>
      </c>
      <c r="C16" s="4" t="s">
        <v>38</v>
      </c>
      <c r="D16" s="6">
        <v>3</v>
      </c>
      <c r="E16" s="6">
        <v>10</v>
      </c>
      <c r="F16" s="46">
        <v>0</v>
      </c>
      <c r="G16" s="58">
        <f t="shared" si="0"/>
        <v>13</v>
      </c>
      <c r="H16" s="59">
        <v>19</v>
      </c>
      <c r="I16" s="6">
        <v>64</v>
      </c>
      <c r="J16" s="46">
        <v>0</v>
      </c>
      <c r="K16" s="57">
        <f t="shared" si="1"/>
        <v>83</v>
      </c>
      <c r="L16" s="48">
        <v>5</v>
      </c>
      <c r="M16" s="48">
        <v>8</v>
      </c>
      <c r="N16" s="27"/>
      <c r="O16" s="28"/>
    </row>
    <row r="17" spans="2:15" ht="18" thickBot="1" x14ac:dyDescent="0.35">
      <c r="B17" s="3" t="s">
        <v>39</v>
      </c>
      <c r="C17" s="4" t="s">
        <v>40</v>
      </c>
      <c r="D17" s="5">
        <v>1</v>
      </c>
      <c r="E17" s="5">
        <v>1</v>
      </c>
      <c r="F17" s="46">
        <v>0</v>
      </c>
      <c r="G17" s="58">
        <f t="shared" si="0"/>
        <v>2</v>
      </c>
      <c r="H17" s="5">
        <v>4</v>
      </c>
      <c r="I17" s="5">
        <v>25</v>
      </c>
      <c r="J17" s="46">
        <v>0</v>
      </c>
      <c r="K17" s="57">
        <f t="shared" si="1"/>
        <v>29</v>
      </c>
      <c r="L17" s="24">
        <v>5</v>
      </c>
      <c r="M17" s="24">
        <v>12</v>
      </c>
      <c r="N17" s="27"/>
      <c r="O17" s="28"/>
    </row>
    <row r="18" spans="2:15" ht="31.8" thickBot="1" x14ac:dyDescent="0.35">
      <c r="B18" s="3" t="s">
        <v>41</v>
      </c>
      <c r="C18" s="4" t="s">
        <v>42</v>
      </c>
      <c r="D18" s="5">
        <v>6</v>
      </c>
      <c r="E18" s="5">
        <v>3</v>
      </c>
      <c r="F18" s="46">
        <v>0</v>
      </c>
      <c r="G18" s="58">
        <f t="shared" si="0"/>
        <v>9</v>
      </c>
      <c r="H18" s="5">
        <v>0</v>
      </c>
      <c r="I18" s="5">
        <v>19</v>
      </c>
      <c r="J18" s="46">
        <v>0</v>
      </c>
      <c r="K18" s="57">
        <f t="shared" si="1"/>
        <v>19</v>
      </c>
      <c r="L18" s="48">
        <v>27</v>
      </c>
      <c r="M18" s="48">
        <v>23</v>
      </c>
      <c r="N18" s="27"/>
      <c r="O18" s="28"/>
    </row>
    <row r="19" spans="2:15" ht="18" thickBot="1" x14ac:dyDescent="0.35">
      <c r="B19" s="3" t="s">
        <v>43</v>
      </c>
      <c r="C19" s="4" t="s">
        <v>44</v>
      </c>
      <c r="D19" s="5">
        <v>0</v>
      </c>
      <c r="E19" s="6">
        <v>3</v>
      </c>
      <c r="F19" s="46">
        <v>0</v>
      </c>
      <c r="G19" s="58">
        <f t="shared" si="0"/>
        <v>3</v>
      </c>
      <c r="H19" s="5">
        <v>13</v>
      </c>
      <c r="I19" s="6">
        <v>24</v>
      </c>
      <c r="J19" s="46">
        <v>0</v>
      </c>
      <c r="K19" s="57">
        <f t="shared" si="1"/>
        <v>37</v>
      </c>
      <c r="L19" s="24">
        <v>53</v>
      </c>
      <c r="M19" s="24">
        <v>64</v>
      </c>
      <c r="N19" s="27"/>
      <c r="O19" s="28"/>
    </row>
    <row r="20" spans="2:15" ht="18" thickBot="1" x14ac:dyDescent="0.35">
      <c r="B20" s="3" t="s">
        <v>45</v>
      </c>
      <c r="C20" s="4" t="s">
        <v>46</v>
      </c>
      <c r="D20" s="5">
        <v>0</v>
      </c>
      <c r="E20" s="5">
        <v>10</v>
      </c>
      <c r="F20" s="46">
        <v>0</v>
      </c>
      <c r="G20" s="58">
        <f t="shared" si="0"/>
        <v>10</v>
      </c>
      <c r="H20" s="5">
        <v>3</v>
      </c>
      <c r="I20" s="5">
        <v>0</v>
      </c>
      <c r="J20" s="46">
        <v>0</v>
      </c>
      <c r="K20" s="57">
        <f t="shared" si="1"/>
        <v>3</v>
      </c>
      <c r="L20" s="48">
        <v>2</v>
      </c>
      <c r="M20" s="48">
        <v>15</v>
      </c>
      <c r="N20" s="27"/>
      <c r="O20" s="28"/>
    </row>
    <row r="21" spans="2:15" ht="18" thickBot="1" x14ac:dyDescent="0.35">
      <c r="B21" s="3" t="s">
        <v>47</v>
      </c>
      <c r="C21" s="4" t="s">
        <v>48</v>
      </c>
      <c r="D21" s="5">
        <v>4</v>
      </c>
      <c r="E21" s="5">
        <v>6</v>
      </c>
      <c r="F21" s="46">
        <v>0</v>
      </c>
      <c r="G21" s="58">
        <f t="shared" si="0"/>
        <v>10</v>
      </c>
      <c r="H21" s="5">
        <v>0</v>
      </c>
      <c r="I21" s="5">
        <v>40</v>
      </c>
      <c r="J21" s="46">
        <v>0</v>
      </c>
      <c r="K21" s="57">
        <f t="shared" si="1"/>
        <v>40</v>
      </c>
      <c r="L21" s="24">
        <v>2</v>
      </c>
      <c r="M21" s="24">
        <v>1</v>
      </c>
      <c r="N21" s="27"/>
      <c r="O21" s="28"/>
    </row>
    <row r="22" spans="2:15" ht="18" thickBot="1" x14ac:dyDescent="0.35">
      <c r="B22" s="3" t="s">
        <v>49</v>
      </c>
      <c r="C22" s="4" t="s">
        <v>50</v>
      </c>
      <c r="D22" s="5">
        <v>1</v>
      </c>
      <c r="E22" s="5">
        <v>15</v>
      </c>
      <c r="F22" s="46">
        <v>0</v>
      </c>
      <c r="G22" s="58">
        <f t="shared" si="0"/>
        <v>16</v>
      </c>
      <c r="H22" s="5">
        <v>0</v>
      </c>
      <c r="I22" s="5">
        <v>10</v>
      </c>
      <c r="J22" s="46">
        <v>0</v>
      </c>
      <c r="K22" s="57">
        <f t="shared" si="1"/>
        <v>10</v>
      </c>
      <c r="L22" s="48">
        <v>30</v>
      </c>
      <c r="M22" s="48">
        <v>64</v>
      </c>
      <c r="N22" s="27"/>
      <c r="O22" s="28"/>
    </row>
    <row r="23" spans="2:15" ht="18" thickBot="1" x14ac:dyDescent="0.35">
      <c r="B23" s="3" t="s">
        <v>51</v>
      </c>
      <c r="C23" s="4" t="s">
        <v>52</v>
      </c>
      <c r="D23" s="5">
        <v>6</v>
      </c>
      <c r="E23" s="5">
        <v>15</v>
      </c>
      <c r="F23" s="46">
        <v>0</v>
      </c>
      <c r="G23" s="58">
        <f t="shared" si="0"/>
        <v>21</v>
      </c>
      <c r="H23" s="5">
        <v>2</v>
      </c>
      <c r="I23" s="5">
        <v>14</v>
      </c>
      <c r="J23" s="46">
        <v>0</v>
      </c>
      <c r="K23" s="57">
        <f t="shared" si="1"/>
        <v>16</v>
      </c>
      <c r="L23" s="24">
        <v>7</v>
      </c>
      <c r="M23" s="24">
        <v>35</v>
      </c>
      <c r="N23" s="27"/>
      <c r="O23" s="28"/>
    </row>
    <row r="24" spans="2:15" ht="18" thickBot="1" x14ac:dyDescent="0.35">
      <c r="B24" s="3" t="s">
        <v>53</v>
      </c>
      <c r="C24" s="4" t="s">
        <v>54</v>
      </c>
      <c r="D24" s="5">
        <v>6</v>
      </c>
      <c r="E24" s="5">
        <v>2</v>
      </c>
      <c r="F24" s="46">
        <v>0</v>
      </c>
      <c r="G24" s="58">
        <f t="shared" si="0"/>
        <v>8</v>
      </c>
      <c r="H24" s="5">
        <v>19</v>
      </c>
      <c r="I24" s="5">
        <v>40</v>
      </c>
      <c r="J24" s="46">
        <v>0</v>
      </c>
      <c r="K24" s="57">
        <f t="shared" si="1"/>
        <v>59</v>
      </c>
      <c r="L24" s="48">
        <v>17</v>
      </c>
      <c r="M24" s="48">
        <v>44</v>
      </c>
      <c r="N24" s="27"/>
      <c r="O24" s="28"/>
    </row>
    <row r="25" spans="2:15" ht="18" thickBot="1" x14ac:dyDescent="0.35">
      <c r="B25" s="3" t="s">
        <v>55</v>
      </c>
      <c r="C25" s="4" t="s">
        <v>56</v>
      </c>
      <c r="D25" s="5">
        <v>3</v>
      </c>
      <c r="E25" s="5">
        <v>5</v>
      </c>
      <c r="F25" s="46">
        <v>0</v>
      </c>
      <c r="G25" s="58">
        <f t="shared" si="0"/>
        <v>8</v>
      </c>
      <c r="H25" s="5">
        <v>2</v>
      </c>
      <c r="I25" s="5">
        <v>46</v>
      </c>
      <c r="J25" s="46">
        <v>0</v>
      </c>
      <c r="K25" s="57">
        <f t="shared" si="1"/>
        <v>48</v>
      </c>
      <c r="L25" s="24">
        <v>262</v>
      </c>
      <c r="M25" s="24">
        <v>35</v>
      </c>
      <c r="N25" s="27"/>
      <c r="O25" s="28"/>
    </row>
    <row r="26" spans="2:15" ht="31.8" thickBot="1" x14ac:dyDescent="0.35">
      <c r="B26" s="3" t="s">
        <v>57</v>
      </c>
      <c r="C26" s="4" t="s">
        <v>58</v>
      </c>
      <c r="D26" s="5">
        <v>1</v>
      </c>
      <c r="E26" s="5">
        <v>6</v>
      </c>
      <c r="F26" s="46">
        <v>0</v>
      </c>
      <c r="G26" s="58">
        <f t="shared" si="0"/>
        <v>7</v>
      </c>
      <c r="H26" s="5">
        <v>2</v>
      </c>
      <c r="I26" s="5">
        <v>23</v>
      </c>
      <c r="J26" s="46">
        <v>0</v>
      </c>
      <c r="K26" s="57">
        <f t="shared" si="1"/>
        <v>25</v>
      </c>
      <c r="L26" s="48">
        <v>9</v>
      </c>
      <c r="M26" s="48">
        <v>25</v>
      </c>
      <c r="N26" s="27"/>
      <c r="O26" s="28"/>
    </row>
    <row r="27" spans="2:15" ht="18" thickBot="1" x14ac:dyDescent="0.35">
      <c r="B27" s="3" t="s">
        <v>59</v>
      </c>
      <c r="C27" s="4" t="s">
        <v>60</v>
      </c>
      <c r="D27" s="5">
        <v>1</v>
      </c>
      <c r="E27" s="5">
        <v>0</v>
      </c>
      <c r="F27" s="46">
        <v>0</v>
      </c>
      <c r="G27" s="58">
        <f t="shared" si="0"/>
        <v>1</v>
      </c>
      <c r="H27" s="5">
        <v>0</v>
      </c>
      <c r="I27" s="5">
        <v>24</v>
      </c>
      <c r="J27" s="46">
        <v>0</v>
      </c>
      <c r="K27" s="57">
        <f>SUM(H27:J27)</f>
        <v>24</v>
      </c>
      <c r="L27" s="24">
        <v>12</v>
      </c>
      <c r="M27" s="24">
        <v>42</v>
      </c>
      <c r="N27" s="27"/>
      <c r="O27" s="28"/>
    </row>
    <row r="28" spans="2:15" ht="18" thickBot="1" x14ac:dyDescent="0.35">
      <c r="B28" s="3" t="s">
        <v>61</v>
      </c>
      <c r="C28" s="4" t="s">
        <v>62</v>
      </c>
      <c r="D28" s="5">
        <v>7</v>
      </c>
      <c r="E28" s="5">
        <v>15</v>
      </c>
      <c r="F28" s="46">
        <v>0</v>
      </c>
      <c r="G28" s="58">
        <f t="shared" si="0"/>
        <v>22</v>
      </c>
      <c r="H28" s="5">
        <v>0</v>
      </c>
      <c r="I28" s="5">
        <v>75</v>
      </c>
      <c r="J28" s="46">
        <v>0</v>
      </c>
      <c r="K28" s="57">
        <f>SUM(H28:J28)</f>
        <v>75</v>
      </c>
      <c r="L28" s="48">
        <v>76</v>
      </c>
      <c r="M28" s="48">
        <v>92</v>
      </c>
      <c r="N28" s="27"/>
      <c r="O28" s="28"/>
    </row>
    <row r="29" spans="2:15" ht="18" thickBot="1" x14ac:dyDescent="0.35">
      <c r="B29" s="3" t="s">
        <v>63</v>
      </c>
      <c r="C29" s="4" t="s">
        <v>64</v>
      </c>
      <c r="D29" s="5">
        <v>3</v>
      </c>
      <c r="E29" s="5">
        <v>2</v>
      </c>
      <c r="F29" s="46">
        <v>0</v>
      </c>
      <c r="G29" s="58">
        <f t="shared" si="0"/>
        <v>5</v>
      </c>
      <c r="H29" s="5">
        <v>8</v>
      </c>
      <c r="I29" s="5">
        <v>24</v>
      </c>
      <c r="J29" s="46">
        <v>0</v>
      </c>
      <c r="K29" s="57">
        <f t="shared" ref="K29:K32" si="2">SUM(H29:J29)</f>
        <v>32</v>
      </c>
      <c r="L29" s="24">
        <v>15</v>
      </c>
      <c r="M29" s="24">
        <v>76</v>
      </c>
      <c r="N29" s="27"/>
      <c r="O29" s="28"/>
    </row>
    <row r="30" spans="2:15" ht="18" thickBot="1" x14ac:dyDescent="0.35">
      <c r="B30" s="3" t="s">
        <v>65</v>
      </c>
      <c r="C30" s="4" t="s">
        <v>66</v>
      </c>
      <c r="D30" s="5">
        <v>0</v>
      </c>
      <c r="E30" s="5">
        <v>19</v>
      </c>
      <c r="F30" s="46">
        <v>0</v>
      </c>
      <c r="G30" s="58">
        <f t="shared" si="0"/>
        <v>19</v>
      </c>
      <c r="H30" s="5">
        <v>0</v>
      </c>
      <c r="I30" s="5">
        <v>20</v>
      </c>
      <c r="J30" s="46">
        <v>0</v>
      </c>
      <c r="K30" s="57">
        <f t="shared" si="2"/>
        <v>20</v>
      </c>
      <c r="L30" s="48">
        <v>24</v>
      </c>
      <c r="M30" s="48">
        <v>37</v>
      </c>
      <c r="N30" s="27"/>
      <c r="O30" s="28"/>
    </row>
    <row r="31" spans="2:15" ht="18" thickBot="1" x14ac:dyDescent="0.35">
      <c r="B31" s="3" t="s">
        <v>67</v>
      </c>
      <c r="C31" s="4" t="s">
        <v>68</v>
      </c>
      <c r="D31" s="5">
        <v>3</v>
      </c>
      <c r="E31" s="5">
        <v>3</v>
      </c>
      <c r="F31" s="46">
        <v>0</v>
      </c>
      <c r="G31" s="58">
        <f>SUM(D31:F31)</f>
        <v>6</v>
      </c>
      <c r="H31" s="5">
        <v>12</v>
      </c>
      <c r="I31" s="5">
        <v>30</v>
      </c>
      <c r="J31" s="46">
        <v>0</v>
      </c>
      <c r="K31" s="57">
        <f t="shared" si="2"/>
        <v>42</v>
      </c>
      <c r="L31" s="24">
        <v>9</v>
      </c>
      <c r="M31" s="24">
        <v>32</v>
      </c>
      <c r="N31" s="27"/>
      <c r="O31" s="28"/>
    </row>
    <row r="32" spans="2:15" ht="18" thickBot="1" x14ac:dyDescent="0.35">
      <c r="B32" s="3" t="s">
        <v>69</v>
      </c>
      <c r="C32" s="4" t="s">
        <v>70</v>
      </c>
      <c r="D32" s="5">
        <v>3</v>
      </c>
      <c r="E32" s="5">
        <v>9</v>
      </c>
      <c r="F32" s="46">
        <v>0</v>
      </c>
      <c r="G32" s="58">
        <f>SUM(D32:F32)</f>
        <v>12</v>
      </c>
      <c r="H32" s="5">
        <v>2</v>
      </c>
      <c r="I32" s="5">
        <v>33</v>
      </c>
      <c r="J32" s="46">
        <v>0</v>
      </c>
      <c r="K32" s="57">
        <f t="shared" si="2"/>
        <v>35</v>
      </c>
      <c r="L32" s="48">
        <v>9</v>
      </c>
      <c r="M32" s="48">
        <v>19</v>
      </c>
      <c r="N32" s="27"/>
      <c r="O32" s="28"/>
    </row>
    <row r="33" spans="2:15" ht="31.8" thickBot="1" x14ac:dyDescent="0.35">
      <c r="B33" s="3" t="s">
        <v>71</v>
      </c>
      <c r="C33" s="4" t="s">
        <v>72</v>
      </c>
      <c r="D33" s="5">
        <v>4</v>
      </c>
      <c r="E33" s="5">
        <v>3</v>
      </c>
      <c r="F33" s="46">
        <v>0</v>
      </c>
      <c r="G33" s="58">
        <f t="shared" ref="G33:G39" si="3">SUM(D33:F33)</f>
        <v>7</v>
      </c>
      <c r="H33" s="5">
        <v>6</v>
      </c>
      <c r="I33" s="5">
        <v>47</v>
      </c>
      <c r="J33" s="46">
        <v>0</v>
      </c>
      <c r="K33" s="57">
        <f>SUM(H33:J33)</f>
        <v>53</v>
      </c>
      <c r="L33" s="24">
        <v>6</v>
      </c>
      <c r="M33" s="24">
        <v>10</v>
      </c>
      <c r="N33" s="27"/>
      <c r="O33" s="28"/>
    </row>
    <row r="34" spans="2:15" ht="31.8" thickBot="1" x14ac:dyDescent="0.35">
      <c r="B34" s="3" t="s">
        <v>73</v>
      </c>
      <c r="C34" s="4" t="s">
        <v>74</v>
      </c>
      <c r="D34" s="5">
        <v>5</v>
      </c>
      <c r="E34" s="5">
        <v>4</v>
      </c>
      <c r="F34" s="46">
        <v>0</v>
      </c>
      <c r="G34" s="58">
        <f t="shared" si="3"/>
        <v>9</v>
      </c>
      <c r="H34" s="5">
        <v>2</v>
      </c>
      <c r="I34" s="5">
        <v>0</v>
      </c>
      <c r="J34" s="46">
        <v>0</v>
      </c>
      <c r="K34" s="57">
        <f>SUM(H34:J34)</f>
        <v>2</v>
      </c>
      <c r="L34" s="48">
        <v>8</v>
      </c>
      <c r="M34" s="48">
        <v>15</v>
      </c>
      <c r="N34" s="27"/>
      <c r="O34" s="28"/>
    </row>
    <row r="35" spans="2:15" ht="18" thickBot="1" x14ac:dyDescent="0.35">
      <c r="B35" s="3" t="s">
        <v>75</v>
      </c>
      <c r="C35" s="4" t="s">
        <v>76</v>
      </c>
      <c r="D35" s="46">
        <v>3</v>
      </c>
      <c r="E35" s="5">
        <v>3</v>
      </c>
      <c r="F35" s="46">
        <v>0</v>
      </c>
      <c r="G35" s="58">
        <f t="shared" si="3"/>
        <v>6</v>
      </c>
      <c r="H35" s="5">
        <v>1</v>
      </c>
      <c r="I35" s="5">
        <v>34</v>
      </c>
      <c r="J35" s="46">
        <v>0</v>
      </c>
      <c r="K35" s="57">
        <f t="shared" ref="K35:K40" si="4">SUM(H35:J35)</f>
        <v>35</v>
      </c>
      <c r="L35" s="24">
        <v>6</v>
      </c>
      <c r="M35" s="24">
        <v>16</v>
      </c>
      <c r="N35" s="27"/>
      <c r="O35" s="28"/>
    </row>
    <row r="36" spans="2:15" ht="18" thickBot="1" x14ac:dyDescent="0.35">
      <c r="B36" s="3" t="s">
        <v>77</v>
      </c>
      <c r="C36" s="4" t="s">
        <v>78</v>
      </c>
      <c r="D36" s="5">
        <v>1</v>
      </c>
      <c r="E36" s="5">
        <v>0</v>
      </c>
      <c r="F36" s="46">
        <v>0</v>
      </c>
      <c r="G36" s="58">
        <f t="shared" si="3"/>
        <v>1</v>
      </c>
      <c r="H36" s="5">
        <v>4</v>
      </c>
      <c r="I36" s="5">
        <v>7</v>
      </c>
      <c r="J36" s="46">
        <v>0</v>
      </c>
      <c r="K36" s="57">
        <f t="shared" si="4"/>
        <v>11</v>
      </c>
      <c r="L36" s="48">
        <v>14</v>
      </c>
      <c r="M36" s="48">
        <v>66</v>
      </c>
      <c r="N36" s="27"/>
      <c r="O36" s="28"/>
    </row>
    <row r="37" spans="2:15" ht="31.8" thickBot="1" x14ac:dyDescent="0.35">
      <c r="B37" s="3" t="s">
        <v>79</v>
      </c>
      <c r="C37" s="4" t="s">
        <v>80</v>
      </c>
      <c r="D37" s="5">
        <v>3</v>
      </c>
      <c r="E37" s="5">
        <v>2</v>
      </c>
      <c r="F37" s="46">
        <v>0</v>
      </c>
      <c r="G37" s="58">
        <f t="shared" si="3"/>
        <v>5</v>
      </c>
      <c r="H37" s="5">
        <v>12</v>
      </c>
      <c r="I37" s="5">
        <v>41</v>
      </c>
      <c r="J37" s="46">
        <v>0</v>
      </c>
      <c r="K37" s="57">
        <f t="shared" si="4"/>
        <v>53</v>
      </c>
      <c r="L37" s="24">
        <v>2</v>
      </c>
      <c r="M37" s="24">
        <v>11</v>
      </c>
      <c r="N37" s="27"/>
      <c r="O37" s="28"/>
    </row>
    <row r="38" spans="2:15" ht="18" thickBot="1" x14ac:dyDescent="0.35">
      <c r="B38" s="3" t="s">
        <v>81</v>
      </c>
      <c r="C38" s="4" t="s">
        <v>82</v>
      </c>
      <c r="D38" s="5">
        <v>0</v>
      </c>
      <c r="E38" s="5">
        <v>9</v>
      </c>
      <c r="F38" s="46">
        <v>0</v>
      </c>
      <c r="G38" s="58">
        <f t="shared" si="3"/>
        <v>9</v>
      </c>
      <c r="H38" s="5">
        <v>3</v>
      </c>
      <c r="I38" s="5">
        <v>6</v>
      </c>
      <c r="J38" s="46">
        <v>0</v>
      </c>
      <c r="K38" s="57">
        <f t="shared" si="4"/>
        <v>9</v>
      </c>
      <c r="L38" s="48">
        <v>22</v>
      </c>
      <c r="M38" s="48">
        <v>55</v>
      </c>
      <c r="N38" s="27"/>
      <c r="O38" s="28"/>
    </row>
    <row r="39" spans="2:15" ht="18" thickBot="1" x14ac:dyDescent="0.35">
      <c r="B39" s="3" t="s">
        <v>83</v>
      </c>
      <c r="C39" s="4" t="s">
        <v>84</v>
      </c>
      <c r="D39" s="5">
        <v>6</v>
      </c>
      <c r="E39" s="5">
        <v>8</v>
      </c>
      <c r="F39" s="46">
        <v>0</v>
      </c>
      <c r="G39" s="58">
        <f t="shared" si="3"/>
        <v>14</v>
      </c>
      <c r="H39" s="46">
        <v>25</v>
      </c>
      <c r="I39" s="5">
        <v>6</v>
      </c>
      <c r="J39" s="46">
        <v>0</v>
      </c>
      <c r="K39" s="57">
        <f t="shared" si="4"/>
        <v>31</v>
      </c>
      <c r="L39" s="24">
        <v>5</v>
      </c>
      <c r="M39" s="24">
        <v>17</v>
      </c>
      <c r="N39" s="27"/>
      <c r="O39" s="28"/>
    </row>
    <row r="40" spans="2:15" ht="16.2" thickBot="1" x14ac:dyDescent="0.35">
      <c r="B40" s="29" t="s">
        <v>85</v>
      </c>
      <c r="C40" s="30"/>
      <c r="D40" s="10">
        <v>114</v>
      </c>
      <c r="E40" s="10">
        <v>255</v>
      </c>
      <c r="F40" s="10">
        <v>0</v>
      </c>
      <c r="G40" s="51">
        <f>SUM(D40:F40)</f>
        <v>369</v>
      </c>
      <c r="H40" s="10">
        <v>241</v>
      </c>
      <c r="I40" s="10">
        <v>1007</v>
      </c>
      <c r="J40" s="10">
        <v>0</v>
      </c>
      <c r="K40" s="56">
        <f t="shared" si="4"/>
        <v>1248</v>
      </c>
      <c r="L40" s="26">
        <v>830</v>
      </c>
      <c r="M40" s="26">
        <v>1158</v>
      </c>
      <c r="N40" s="11"/>
      <c r="O40" s="12"/>
    </row>
    <row r="42" spans="2:15" x14ac:dyDescent="0.3">
      <c r="D42" s="61">
        <f>SUM(D5:D39)</f>
        <v>114</v>
      </c>
      <c r="E42" s="61">
        <f>SUM(E5:E39)</f>
        <v>255</v>
      </c>
      <c r="F42" s="61">
        <f>SUM(F5:F39)</f>
        <v>0</v>
      </c>
      <c r="G42" s="60">
        <f>SUM(D42:F42)</f>
        <v>369</v>
      </c>
      <c r="H42" s="61">
        <f>SUM(H5:H39)</f>
        <v>241</v>
      </c>
      <c r="I42" s="61">
        <f>SUM(I5:I39)</f>
        <v>1007</v>
      </c>
      <c r="J42" s="61">
        <f>SUM(J5:J39)</f>
        <v>0</v>
      </c>
      <c r="K42" s="60">
        <f>SUM(H42:J42)</f>
        <v>1248</v>
      </c>
      <c r="L42" s="61">
        <f>SUM(L5:L39)</f>
        <v>830</v>
      </c>
      <c r="M42" s="61">
        <f>SUM(M5:M39)</f>
        <v>1158</v>
      </c>
    </row>
  </sheetData>
  <mergeCells count="42">
    <mergeCell ref="N35:O35"/>
    <mergeCell ref="N36:O36"/>
    <mergeCell ref="N37:O37"/>
    <mergeCell ref="N38:O38"/>
    <mergeCell ref="N39:O39"/>
    <mergeCell ref="B40:C40"/>
    <mergeCell ref="N29:O29"/>
    <mergeCell ref="N30:O30"/>
    <mergeCell ref="N31:O31"/>
    <mergeCell ref="N32:O32"/>
    <mergeCell ref="N33:O33"/>
    <mergeCell ref="N34:O34"/>
    <mergeCell ref="N23:O23"/>
    <mergeCell ref="N24:O24"/>
    <mergeCell ref="N25:O25"/>
    <mergeCell ref="N26:O26"/>
    <mergeCell ref="N27:O27"/>
    <mergeCell ref="N28:O28"/>
    <mergeCell ref="N17:O17"/>
    <mergeCell ref="N18:O18"/>
    <mergeCell ref="N19:O19"/>
    <mergeCell ref="N20:O20"/>
    <mergeCell ref="N21:O21"/>
    <mergeCell ref="N22:O22"/>
    <mergeCell ref="N11:O11"/>
    <mergeCell ref="N12:O12"/>
    <mergeCell ref="N13:O13"/>
    <mergeCell ref="N14:O14"/>
    <mergeCell ref="N15:O15"/>
    <mergeCell ref="N16:O16"/>
    <mergeCell ref="N5:O5"/>
    <mergeCell ref="N6:O6"/>
    <mergeCell ref="N7:O7"/>
    <mergeCell ref="N8:O8"/>
    <mergeCell ref="N9:O9"/>
    <mergeCell ref="N10:O10"/>
    <mergeCell ref="B3:B4"/>
    <mergeCell ref="D3:F3"/>
    <mergeCell ref="H3:J3"/>
    <mergeCell ref="L3:M3"/>
    <mergeCell ref="N3:O3"/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2</vt:i4>
      </vt:variant>
    </vt:vector>
  </HeadingPairs>
  <TitlesOfParts>
    <vt:vector size="2" baseType="lpstr">
      <vt:lpstr>martie2026</vt:lpstr>
      <vt:lpstr>martie2025v2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Eva-Mădălina Arseni</dc:creator>
  <cp:lastModifiedBy>Eva-Mădălina Arseni</cp:lastModifiedBy>
  <dcterms:created xsi:type="dcterms:W3CDTF">2026-04-06T08:12:26Z</dcterms:created>
  <dcterms:modified xsi:type="dcterms:W3CDTF">2026-04-06T12:54:51Z</dcterms:modified>
</cp:coreProperties>
</file>