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1B3AABEA-5897-4512-8DCE-903DBEE880CE}" xr6:coauthVersionLast="47" xr6:coauthVersionMax="47" xr10:uidLastSave="{00000000-0000-0000-0000-000000000000}"/>
  <bookViews>
    <workbookView xWindow="-120" yWindow="-120" windowWidth="29040" windowHeight="15840" activeTab="1" xr2:uid="{586F106E-27BB-4DDC-AC06-1CDDA4A0F5DA}"/>
  </bookViews>
  <sheets>
    <sheet name="Ian26" sheetId="2" r:id="rId1"/>
    <sheet name="Feb26" sheetId="3" r:id="rId2"/>
    <sheet name="Ian25" sheetId="4" r:id="rId3"/>
    <sheet name="Feb25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7" i="5" l="1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7" i="5"/>
  <c r="L6" i="5"/>
  <c r="L6" i="4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7" i="5"/>
  <c r="H6" i="5"/>
  <c r="H6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7" i="4"/>
  <c r="L6" i="3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7" i="4"/>
  <c r="H6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7" i="3"/>
  <c r="L6" i="2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8" i="3"/>
  <c r="H9" i="3"/>
  <c r="H10" i="3"/>
  <c r="H11" i="3"/>
  <c r="H12" i="3"/>
  <c r="H13" i="3"/>
  <c r="H14" i="3"/>
  <c r="H7" i="3"/>
  <c r="H7" i="2"/>
  <c r="H6" i="2"/>
  <c r="L41" i="2"/>
  <c r="L35" i="2"/>
  <c r="L36" i="2"/>
  <c r="L37" i="2"/>
  <c r="L38" i="2"/>
  <c r="L39" i="2"/>
  <c r="L40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8" i="2"/>
  <c r="L9" i="2"/>
  <c r="L10" i="2"/>
  <c r="L11" i="2"/>
  <c r="L12" i="2"/>
  <c r="L13" i="2"/>
  <c r="L14" i="2"/>
  <c r="L15" i="2"/>
  <c r="L16" i="2"/>
  <c r="L7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</calcChain>
</file>

<file path=xl/sharedStrings.xml><?xml version="1.0" encoding="utf-8"?>
<sst xmlns="http://schemas.openxmlformats.org/spreadsheetml/2006/main" count="346" uniqueCount="92">
  <si>
    <t>Nr. crt.</t>
  </si>
  <si>
    <t>Raionul/</t>
  </si>
  <si>
    <t>municipiul</t>
  </si>
  <si>
    <t>Evaluarea complexă</t>
  </si>
  <si>
    <t>Reevaluarea complexă</t>
  </si>
  <si>
    <t>Asistența psihopedagogică</t>
  </si>
  <si>
    <t>Număr de copii evaluați din grădiniță</t>
  </si>
  <si>
    <t>Număr de elevi evaluați din școală</t>
  </si>
  <si>
    <t>Număr elevi evaluați din ÎPT</t>
  </si>
  <si>
    <t>Număr de copii reevaluați din grădiniță</t>
  </si>
  <si>
    <t>Număr de elevi reevaluați din școală</t>
  </si>
  <si>
    <t>Număr elevi reevaluați din ÎPT</t>
  </si>
  <si>
    <t>Număr de copii asistați</t>
  </si>
  <si>
    <t>Număr de ședințe</t>
  </si>
  <si>
    <t>1.</t>
  </si>
  <si>
    <t>Anenii Noi</t>
  </si>
  <si>
    <t>2.</t>
  </si>
  <si>
    <t>Bălți</t>
  </si>
  <si>
    <t>3.</t>
  </si>
  <si>
    <t>Basarabeasca</t>
  </si>
  <si>
    <t>4.</t>
  </si>
  <si>
    <t>Briceni</t>
  </si>
  <si>
    <t>5.</t>
  </si>
  <si>
    <t>Cahul</t>
  </si>
  <si>
    <t>6.</t>
  </si>
  <si>
    <t>Călărași</t>
  </si>
  <si>
    <t>7.</t>
  </si>
  <si>
    <t>Cantemir</t>
  </si>
  <si>
    <t>8.</t>
  </si>
  <si>
    <t>Căușeni</t>
  </si>
  <si>
    <t>9.</t>
  </si>
  <si>
    <t>Chișinău</t>
  </si>
  <si>
    <t>10.</t>
  </si>
  <si>
    <t>Cimișlia</t>
  </si>
  <si>
    <t>11.</t>
  </si>
  <si>
    <t>Criuleni</t>
  </si>
  <si>
    <t>12.</t>
  </si>
  <si>
    <t>Dondușeni</t>
  </si>
  <si>
    <t>13.</t>
  </si>
  <si>
    <t>Drochia</t>
  </si>
  <si>
    <t>14.</t>
  </si>
  <si>
    <t>Dubăsari</t>
  </si>
  <si>
    <t>15.</t>
  </si>
  <si>
    <t>Edineț</t>
  </si>
  <si>
    <t>16.</t>
  </si>
  <si>
    <t>Fălești</t>
  </si>
  <si>
    <t>17.</t>
  </si>
  <si>
    <t>Florești</t>
  </si>
  <si>
    <t>18.</t>
  </si>
  <si>
    <t>Glodeni</t>
  </si>
  <si>
    <t>19.</t>
  </si>
  <si>
    <t>Hîncești</t>
  </si>
  <si>
    <t>20.</t>
  </si>
  <si>
    <t>Ialoveni</t>
  </si>
  <si>
    <t>21.</t>
  </si>
  <si>
    <t>Leova</t>
  </si>
  <si>
    <t>22.</t>
  </si>
  <si>
    <t>Nisporeni</t>
  </si>
  <si>
    <t>23.</t>
  </si>
  <si>
    <t>Ocnița</t>
  </si>
  <si>
    <t>24.</t>
  </si>
  <si>
    <t>Orhei</t>
  </si>
  <si>
    <t>25.</t>
  </si>
  <si>
    <t>Rezina</t>
  </si>
  <si>
    <t>26.</t>
  </si>
  <si>
    <t>Rîșcani</t>
  </si>
  <si>
    <t>27.</t>
  </si>
  <si>
    <t>Sîngerei</t>
  </si>
  <si>
    <t>28.</t>
  </si>
  <si>
    <t>Soroca</t>
  </si>
  <si>
    <t>29.</t>
  </si>
  <si>
    <t>Şoldănești</t>
  </si>
  <si>
    <t>30.</t>
  </si>
  <si>
    <t>Ștefan-Vodă</t>
  </si>
  <si>
    <t>31.</t>
  </si>
  <si>
    <t>Strășeni</t>
  </si>
  <si>
    <t>32.</t>
  </si>
  <si>
    <t>Taraclia</t>
  </si>
  <si>
    <t>33.</t>
  </si>
  <si>
    <t>Telenești</t>
  </si>
  <si>
    <t>34.</t>
  </si>
  <si>
    <t>Ungheni</t>
  </si>
  <si>
    <t>35.</t>
  </si>
  <si>
    <t>UTAG</t>
  </si>
  <si>
    <t>Total:</t>
  </si>
  <si>
    <t>Total</t>
  </si>
  <si>
    <t>Șoldănești</t>
  </si>
  <si>
    <t>TOTAL</t>
  </si>
  <si>
    <t>Balti</t>
  </si>
  <si>
    <t>Calarași</t>
  </si>
  <si>
    <t>Cimislia</t>
  </si>
  <si>
    <t>Stefan-Vodă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</si>
</sst>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2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b/>
      <sz val="12"/>
      <color rgb="FF000000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b/>
      <sz val="14"/>
      <color theme="1"/>
      <name val="Calibri"/>
      <family val="2"/>
      <charset val="238"/>
      <scheme val="minor"/>
    </font>
    <font>
      <sz val="12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  <font>
      <sz val="10"/>
      <color theme="1"/>
      <name val="Arial"/>
      <family val="2"/>
      <charset val="238"/>
    </font>
    <font>
      <sz val="11"/>
      <color rgb="FF000000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sz val="11"/>
      <color rgb="FF000000"/>
      <name val="Times New Roman"/>
      <family val="1"/>
      <charset val="238"/>
    </font>
  </fonts>
  <fills count="7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7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7" fontId="8" fillId="0" borderId="0" xfId="0" applyNumberFormat="1" applyFont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9BE4D-5012-4831-BBBF-128F30C6575C}">
  <dimension ref="C3:N41"/>
  <sheetViews>
    <sheetView workbookViewId="0">
      <selection activeCell="S7" sqref="S7"/>
    </sheetView>
  </sheetViews>
  <sheetFormatPr defaultRowHeight="15" x14ac:dyDescent="0.25"/>
  <cols>
    <col min="4" max="4" width="13.7109375" customWidth="1"/>
  </cols>
  <sheetData>
    <row r="3" spans="3:14" ht="18.75" x14ac:dyDescent="0.3">
      <c r="C3" s="8">
        <v>46023</v>
      </c>
    </row>
    <row r="4" spans="3:14" ht="28.15" customHeight="1" x14ac:dyDescent="0.25">
      <c r="C4" s="37" t="s">
        <v>0</v>
      </c>
      <c r="D4" s="2" t="s">
        <v>1</v>
      </c>
      <c r="E4" s="33" t="s">
        <v>3</v>
      </c>
      <c r="F4" s="33"/>
      <c r="G4" s="33"/>
      <c r="H4" s="9" t="s">
        <v>85</v>
      </c>
      <c r="I4" s="34" t="s">
        <v>4</v>
      </c>
      <c r="J4" s="34"/>
      <c r="K4" s="34"/>
      <c r="L4" s="14" t="s">
        <v>85</v>
      </c>
      <c r="M4" s="35" t="s">
        <v>5</v>
      </c>
      <c r="N4" s="35"/>
    </row>
    <row r="5" spans="3:14" ht="94.5" x14ac:dyDescent="0.25">
      <c r="C5" s="37"/>
      <c r="D5" s="2" t="s">
        <v>2</v>
      </c>
      <c r="E5" s="5" t="s">
        <v>6</v>
      </c>
      <c r="F5" s="5" t="s">
        <v>7</v>
      </c>
      <c r="G5" s="5" t="s">
        <v>8</v>
      </c>
      <c r="H5" s="10"/>
      <c r="I5" s="3" t="s">
        <v>9</v>
      </c>
      <c r="J5" s="3" t="s">
        <v>10</v>
      </c>
      <c r="K5" s="3" t="s">
        <v>11</v>
      </c>
      <c r="L5" s="12"/>
      <c r="M5" s="3" t="s">
        <v>12</v>
      </c>
      <c r="N5" s="3" t="s">
        <v>13</v>
      </c>
    </row>
    <row r="6" spans="3:14" ht="18.75" x14ac:dyDescent="0.25">
      <c r="C6" s="4" t="s">
        <v>14</v>
      </c>
      <c r="D6" s="6" t="s">
        <v>15</v>
      </c>
      <c r="E6" s="4">
        <v>6</v>
      </c>
      <c r="F6" s="4">
        <v>15</v>
      </c>
      <c r="G6" s="4">
        <v>0</v>
      </c>
      <c r="H6" s="11">
        <f>E6+F6+G6</f>
        <v>21</v>
      </c>
      <c r="I6" s="4">
        <v>3</v>
      </c>
      <c r="J6" s="4">
        <v>9</v>
      </c>
      <c r="K6" s="4">
        <v>0</v>
      </c>
      <c r="L6" s="13">
        <f>I6+J6+K6</f>
        <v>12</v>
      </c>
      <c r="M6" s="4">
        <v>24</v>
      </c>
      <c r="N6" s="4">
        <v>99</v>
      </c>
    </row>
    <row r="7" spans="3:14" ht="18.75" x14ac:dyDescent="0.25">
      <c r="C7" s="4" t="s">
        <v>16</v>
      </c>
      <c r="D7" s="6" t="s">
        <v>17</v>
      </c>
      <c r="E7" s="4">
        <v>5</v>
      </c>
      <c r="F7" s="4">
        <v>15</v>
      </c>
      <c r="G7" s="4">
        <v>0</v>
      </c>
      <c r="H7" s="11">
        <f>E7+F7+G7</f>
        <v>20</v>
      </c>
      <c r="I7" s="4">
        <v>11</v>
      </c>
      <c r="J7" s="4">
        <v>34</v>
      </c>
      <c r="K7" s="4">
        <v>0</v>
      </c>
      <c r="L7" s="13">
        <f>I7+J7+K7</f>
        <v>45</v>
      </c>
      <c r="M7" s="4">
        <v>15</v>
      </c>
      <c r="N7" s="4">
        <v>37</v>
      </c>
    </row>
    <row r="8" spans="3:14" ht="18.75" x14ac:dyDescent="0.25">
      <c r="C8" s="4" t="s">
        <v>18</v>
      </c>
      <c r="D8" s="6" t="s">
        <v>19</v>
      </c>
      <c r="E8" s="4">
        <v>1</v>
      </c>
      <c r="F8" s="4">
        <v>1</v>
      </c>
      <c r="G8" s="4">
        <v>0</v>
      </c>
      <c r="H8" s="11">
        <f t="shared" ref="H8:H41" si="0">E8+F8+G8</f>
        <v>2</v>
      </c>
      <c r="I8" s="4">
        <v>0</v>
      </c>
      <c r="J8" s="4">
        <v>6</v>
      </c>
      <c r="K8" s="4">
        <v>0</v>
      </c>
      <c r="L8" s="13">
        <f t="shared" ref="L8:L34" si="1">I8+J8+K8</f>
        <v>6</v>
      </c>
      <c r="M8" s="4">
        <v>27</v>
      </c>
      <c r="N8" s="4">
        <v>64</v>
      </c>
    </row>
    <row r="9" spans="3:14" ht="18.75" x14ac:dyDescent="0.25">
      <c r="C9" s="4" t="s">
        <v>20</v>
      </c>
      <c r="D9" s="6" t="s">
        <v>21</v>
      </c>
      <c r="E9" s="4">
        <v>2</v>
      </c>
      <c r="F9" s="4">
        <v>3</v>
      </c>
      <c r="G9" s="4">
        <v>0</v>
      </c>
      <c r="H9" s="11">
        <f t="shared" si="0"/>
        <v>5</v>
      </c>
      <c r="I9" s="4">
        <v>9</v>
      </c>
      <c r="J9" s="4">
        <v>9</v>
      </c>
      <c r="K9" s="4">
        <v>0</v>
      </c>
      <c r="L9" s="13">
        <f t="shared" si="1"/>
        <v>18</v>
      </c>
      <c r="M9" s="4">
        <v>13</v>
      </c>
      <c r="N9" s="4">
        <v>46</v>
      </c>
    </row>
    <row r="10" spans="3:14" ht="18.75" x14ac:dyDescent="0.25">
      <c r="C10" s="4" t="s">
        <v>22</v>
      </c>
      <c r="D10" s="6" t="s">
        <v>23</v>
      </c>
      <c r="E10" s="4">
        <v>3</v>
      </c>
      <c r="F10" s="4">
        <v>0</v>
      </c>
      <c r="G10" s="4">
        <v>0</v>
      </c>
      <c r="H10" s="11">
        <f t="shared" si="0"/>
        <v>3</v>
      </c>
      <c r="I10" s="4">
        <v>6</v>
      </c>
      <c r="J10" s="4">
        <v>36</v>
      </c>
      <c r="K10" s="4">
        <v>0</v>
      </c>
      <c r="L10" s="13">
        <f t="shared" si="1"/>
        <v>42</v>
      </c>
      <c r="M10" s="4">
        <v>33</v>
      </c>
      <c r="N10" s="4">
        <v>84</v>
      </c>
    </row>
    <row r="11" spans="3:14" ht="18.75" x14ac:dyDescent="0.25">
      <c r="C11" s="4" t="s">
        <v>24</v>
      </c>
      <c r="D11" s="6" t="s">
        <v>25</v>
      </c>
      <c r="E11" s="4">
        <v>15</v>
      </c>
      <c r="F11" s="4">
        <v>7</v>
      </c>
      <c r="G11" s="4">
        <v>0</v>
      </c>
      <c r="H11" s="11">
        <f t="shared" si="0"/>
        <v>22</v>
      </c>
      <c r="I11" s="4">
        <v>2</v>
      </c>
      <c r="J11" s="4">
        <v>11</v>
      </c>
      <c r="K11" s="4">
        <v>0</v>
      </c>
      <c r="L11" s="13">
        <f t="shared" si="1"/>
        <v>13</v>
      </c>
      <c r="M11" s="4">
        <v>12</v>
      </c>
      <c r="N11" s="4">
        <v>31</v>
      </c>
    </row>
    <row r="12" spans="3:14" ht="18.75" x14ac:dyDescent="0.25">
      <c r="C12" s="4" t="s">
        <v>26</v>
      </c>
      <c r="D12" s="6" t="s">
        <v>27</v>
      </c>
      <c r="E12" s="4">
        <v>4</v>
      </c>
      <c r="F12" s="4">
        <v>9</v>
      </c>
      <c r="G12" s="4">
        <v>0</v>
      </c>
      <c r="H12" s="11">
        <f t="shared" si="0"/>
        <v>13</v>
      </c>
      <c r="I12" s="4">
        <v>0</v>
      </c>
      <c r="J12" s="4">
        <v>3</v>
      </c>
      <c r="K12" s="4">
        <v>0</v>
      </c>
      <c r="L12" s="13">
        <f t="shared" si="1"/>
        <v>3</v>
      </c>
      <c r="M12" s="4">
        <v>48</v>
      </c>
      <c r="N12" s="4">
        <v>71</v>
      </c>
    </row>
    <row r="13" spans="3:14" ht="18.75" x14ac:dyDescent="0.25">
      <c r="C13" s="4" t="s">
        <v>28</v>
      </c>
      <c r="D13" s="6" t="s">
        <v>29</v>
      </c>
      <c r="E13" s="4">
        <v>1</v>
      </c>
      <c r="F13" s="4">
        <v>13</v>
      </c>
      <c r="G13" s="4">
        <v>0</v>
      </c>
      <c r="H13" s="11">
        <f t="shared" si="0"/>
        <v>14</v>
      </c>
      <c r="I13" s="4">
        <v>2</v>
      </c>
      <c r="J13" s="4">
        <v>18</v>
      </c>
      <c r="K13" s="4">
        <v>0</v>
      </c>
      <c r="L13" s="13">
        <f t="shared" si="1"/>
        <v>20</v>
      </c>
      <c r="M13" s="4">
        <v>12</v>
      </c>
      <c r="N13" s="4">
        <v>82</v>
      </c>
    </row>
    <row r="14" spans="3:14" ht="18.75" x14ac:dyDescent="0.25">
      <c r="C14" s="4" t="s">
        <v>30</v>
      </c>
      <c r="D14" s="6" t="s">
        <v>31</v>
      </c>
      <c r="E14" s="4">
        <v>6</v>
      </c>
      <c r="F14" s="4">
        <v>31</v>
      </c>
      <c r="G14" s="4">
        <v>0</v>
      </c>
      <c r="H14" s="11">
        <f t="shared" si="0"/>
        <v>37</v>
      </c>
      <c r="I14" s="4">
        <v>0</v>
      </c>
      <c r="J14" s="4">
        <v>16</v>
      </c>
      <c r="K14" s="4">
        <v>0</v>
      </c>
      <c r="L14" s="13">
        <f t="shared" si="1"/>
        <v>16</v>
      </c>
      <c r="M14" s="4">
        <v>7</v>
      </c>
      <c r="N14" s="4">
        <v>7</v>
      </c>
    </row>
    <row r="15" spans="3:14" ht="18.75" x14ac:dyDescent="0.25">
      <c r="C15" s="4" t="s">
        <v>32</v>
      </c>
      <c r="D15" s="6" t="s">
        <v>33</v>
      </c>
      <c r="E15" s="4">
        <v>5</v>
      </c>
      <c r="F15" s="4">
        <v>4</v>
      </c>
      <c r="G15" s="4">
        <v>0</v>
      </c>
      <c r="H15" s="11">
        <f t="shared" si="0"/>
        <v>9</v>
      </c>
      <c r="I15" s="4">
        <v>0</v>
      </c>
      <c r="J15" s="4">
        <v>0</v>
      </c>
      <c r="K15" s="4">
        <v>0</v>
      </c>
      <c r="L15" s="13">
        <f t="shared" si="1"/>
        <v>0</v>
      </c>
      <c r="M15" s="4">
        <v>29</v>
      </c>
      <c r="N15" s="4">
        <v>46</v>
      </c>
    </row>
    <row r="16" spans="3:14" ht="18.75" x14ac:dyDescent="0.25">
      <c r="C16" s="4" t="s">
        <v>34</v>
      </c>
      <c r="D16" s="6" t="s">
        <v>35</v>
      </c>
      <c r="E16" s="4">
        <v>1</v>
      </c>
      <c r="F16" s="4">
        <v>13</v>
      </c>
      <c r="G16" s="4">
        <v>0</v>
      </c>
      <c r="H16" s="11">
        <f t="shared" si="0"/>
        <v>14</v>
      </c>
      <c r="I16" s="4">
        <v>0</v>
      </c>
      <c r="J16" s="4">
        <v>4</v>
      </c>
      <c r="K16" s="4">
        <v>1</v>
      </c>
      <c r="L16" s="13">
        <f t="shared" si="1"/>
        <v>5</v>
      </c>
      <c r="M16" s="4">
        <v>8</v>
      </c>
      <c r="N16" s="4">
        <v>8</v>
      </c>
    </row>
    <row r="17" spans="3:14" ht="18.75" x14ac:dyDescent="0.25">
      <c r="C17" s="4" t="s">
        <v>36</v>
      </c>
      <c r="D17" s="6" t="s">
        <v>37</v>
      </c>
      <c r="E17" s="4">
        <v>1</v>
      </c>
      <c r="F17" s="4">
        <v>1</v>
      </c>
      <c r="G17" s="4">
        <v>0</v>
      </c>
      <c r="H17" s="11">
        <f t="shared" si="0"/>
        <v>2</v>
      </c>
      <c r="I17" s="4">
        <v>1</v>
      </c>
      <c r="J17" s="4">
        <v>6</v>
      </c>
      <c r="K17" s="4">
        <v>0</v>
      </c>
      <c r="L17" s="13">
        <f t="shared" si="1"/>
        <v>7</v>
      </c>
      <c r="M17" s="4">
        <v>7</v>
      </c>
      <c r="N17" s="4">
        <v>11</v>
      </c>
    </row>
    <row r="18" spans="3:14" ht="18.75" x14ac:dyDescent="0.25">
      <c r="C18" s="4" t="s">
        <v>38</v>
      </c>
      <c r="D18" s="6" t="s">
        <v>39</v>
      </c>
      <c r="E18" s="4">
        <v>4</v>
      </c>
      <c r="F18" s="4">
        <v>9</v>
      </c>
      <c r="G18" s="4">
        <v>0</v>
      </c>
      <c r="H18" s="11">
        <f t="shared" si="0"/>
        <v>13</v>
      </c>
      <c r="I18" s="4">
        <v>5</v>
      </c>
      <c r="J18" s="4">
        <v>26</v>
      </c>
      <c r="K18" s="4">
        <v>1</v>
      </c>
      <c r="L18" s="13">
        <f t="shared" si="1"/>
        <v>32</v>
      </c>
      <c r="M18" s="4">
        <v>43</v>
      </c>
      <c r="N18" s="4">
        <v>65</v>
      </c>
    </row>
    <row r="19" spans="3:14" ht="18.75" x14ac:dyDescent="0.25">
      <c r="C19" s="4" t="s">
        <v>40</v>
      </c>
      <c r="D19" s="6" t="s">
        <v>41</v>
      </c>
      <c r="E19" s="4">
        <v>0</v>
      </c>
      <c r="F19" s="4">
        <v>1</v>
      </c>
      <c r="G19" s="4">
        <v>0</v>
      </c>
      <c r="H19" s="11">
        <f t="shared" si="0"/>
        <v>1</v>
      </c>
      <c r="I19" s="4">
        <v>0</v>
      </c>
      <c r="J19" s="4">
        <v>0</v>
      </c>
      <c r="K19" s="4">
        <v>0</v>
      </c>
      <c r="L19" s="13">
        <f t="shared" si="1"/>
        <v>0</v>
      </c>
      <c r="M19" s="4">
        <v>4</v>
      </c>
      <c r="N19" s="4">
        <v>10</v>
      </c>
    </row>
    <row r="20" spans="3:14" ht="18.75" x14ac:dyDescent="0.25">
      <c r="C20" s="4" t="s">
        <v>42</v>
      </c>
      <c r="D20" s="6" t="s">
        <v>43</v>
      </c>
      <c r="E20" s="4">
        <v>3</v>
      </c>
      <c r="F20" s="4">
        <v>7</v>
      </c>
      <c r="G20" s="4">
        <v>0</v>
      </c>
      <c r="H20" s="11">
        <f t="shared" si="0"/>
        <v>10</v>
      </c>
      <c r="I20" s="4">
        <v>0</v>
      </c>
      <c r="J20" s="4">
        <v>5</v>
      </c>
      <c r="K20" s="4">
        <v>0</v>
      </c>
      <c r="L20" s="13">
        <f t="shared" si="1"/>
        <v>5</v>
      </c>
      <c r="M20" s="4">
        <v>22</v>
      </c>
      <c r="N20" s="4">
        <v>33</v>
      </c>
    </row>
    <row r="21" spans="3:14" ht="18.75" x14ac:dyDescent="0.25">
      <c r="C21" s="4" t="s">
        <v>44</v>
      </c>
      <c r="D21" s="6" t="s">
        <v>45</v>
      </c>
      <c r="E21" s="4">
        <v>0</v>
      </c>
      <c r="F21" s="4">
        <v>3</v>
      </c>
      <c r="G21" s="4">
        <v>0</v>
      </c>
      <c r="H21" s="11">
        <f t="shared" si="0"/>
        <v>3</v>
      </c>
      <c r="I21" s="4">
        <v>0</v>
      </c>
      <c r="J21" s="4">
        <v>8</v>
      </c>
      <c r="K21" s="4">
        <v>0</v>
      </c>
      <c r="L21" s="13">
        <f t="shared" si="1"/>
        <v>8</v>
      </c>
      <c r="M21" s="4">
        <v>10</v>
      </c>
      <c r="N21" s="4">
        <v>36</v>
      </c>
    </row>
    <row r="22" spans="3:14" ht="18.75" x14ac:dyDescent="0.25">
      <c r="C22" s="4" t="s">
        <v>46</v>
      </c>
      <c r="D22" s="6" t="s">
        <v>47</v>
      </c>
      <c r="E22" s="4">
        <v>6</v>
      </c>
      <c r="F22" s="4">
        <v>20</v>
      </c>
      <c r="G22" s="4">
        <v>0</v>
      </c>
      <c r="H22" s="11">
        <f t="shared" si="0"/>
        <v>26</v>
      </c>
      <c r="I22" s="4">
        <v>2</v>
      </c>
      <c r="J22" s="4">
        <v>7</v>
      </c>
      <c r="K22" s="4">
        <v>0</v>
      </c>
      <c r="L22" s="13">
        <f t="shared" si="1"/>
        <v>9</v>
      </c>
      <c r="M22" s="4">
        <v>3</v>
      </c>
      <c r="N22" s="4">
        <v>3</v>
      </c>
    </row>
    <row r="23" spans="3:14" ht="18.75" x14ac:dyDescent="0.25">
      <c r="C23" s="4" t="s">
        <v>48</v>
      </c>
      <c r="D23" s="6" t="s">
        <v>49</v>
      </c>
      <c r="E23" s="4">
        <v>0</v>
      </c>
      <c r="F23" s="4">
        <v>2</v>
      </c>
      <c r="G23" s="4">
        <v>0</v>
      </c>
      <c r="H23" s="11">
        <f t="shared" si="0"/>
        <v>2</v>
      </c>
      <c r="I23" s="4">
        <v>0</v>
      </c>
      <c r="J23" s="4">
        <v>4</v>
      </c>
      <c r="K23" s="4">
        <v>0</v>
      </c>
      <c r="L23" s="13">
        <f t="shared" si="1"/>
        <v>4</v>
      </c>
      <c r="M23" s="4">
        <v>27</v>
      </c>
      <c r="N23" s="4">
        <v>46</v>
      </c>
    </row>
    <row r="24" spans="3:14" ht="18.75" x14ac:dyDescent="0.25">
      <c r="C24" s="4" t="s">
        <v>50</v>
      </c>
      <c r="D24" s="6" t="s">
        <v>51</v>
      </c>
      <c r="E24" s="4">
        <v>7</v>
      </c>
      <c r="F24" s="4">
        <v>16</v>
      </c>
      <c r="G24" s="4">
        <v>0</v>
      </c>
      <c r="H24" s="11">
        <f t="shared" si="0"/>
        <v>23</v>
      </c>
      <c r="I24" s="4">
        <v>0</v>
      </c>
      <c r="J24" s="4">
        <v>11</v>
      </c>
      <c r="K24" s="4">
        <v>0</v>
      </c>
      <c r="L24" s="13">
        <f t="shared" si="1"/>
        <v>11</v>
      </c>
      <c r="M24" s="4">
        <v>9</v>
      </c>
      <c r="N24" s="4">
        <v>19</v>
      </c>
    </row>
    <row r="25" spans="3:14" ht="18.75" x14ac:dyDescent="0.25">
      <c r="C25" s="4" t="s">
        <v>52</v>
      </c>
      <c r="D25" s="6" t="s">
        <v>53</v>
      </c>
      <c r="E25" s="4">
        <v>4</v>
      </c>
      <c r="F25" s="4">
        <v>11</v>
      </c>
      <c r="G25" s="4">
        <v>0</v>
      </c>
      <c r="H25" s="11">
        <f t="shared" si="0"/>
        <v>15</v>
      </c>
      <c r="I25" s="4">
        <v>0</v>
      </c>
      <c r="J25" s="4">
        <v>21</v>
      </c>
      <c r="K25" s="4">
        <v>0</v>
      </c>
      <c r="L25" s="13">
        <f t="shared" si="1"/>
        <v>21</v>
      </c>
      <c r="M25" s="4">
        <v>52</v>
      </c>
      <c r="N25" s="4">
        <v>99</v>
      </c>
    </row>
    <row r="26" spans="3:14" ht="18.75" x14ac:dyDescent="0.25">
      <c r="C26" s="4" t="s">
        <v>54</v>
      </c>
      <c r="D26" s="6" t="s">
        <v>55</v>
      </c>
      <c r="E26" s="4">
        <v>3</v>
      </c>
      <c r="F26" s="4">
        <v>10</v>
      </c>
      <c r="G26" s="4">
        <v>0</v>
      </c>
      <c r="H26" s="11">
        <f t="shared" si="0"/>
        <v>13</v>
      </c>
      <c r="I26" s="4">
        <v>2</v>
      </c>
      <c r="J26" s="4">
        <v>56</v>
      </c>
      <c r="K26" s="4">
        <v>0</v>
      </c>
      <c r="L26" s="13">
        <f t="shared" si="1"/>
        <v>58</v>
      </c>
      <c r="M26" s="4">
        <v>39</v>
      </c>
      <c r="N26" s="4">
        <v>62</v>
      </c>
    </row>
    <row r="27" spans="3:14" ht="18.75" x14ac:dyDescent="0.25">
      <c r="C27" s="4" t="s">
        <v>56</v>
      </c>
      <c r="D27" s="6" t="s">
        <v>57</v>
      </c>
      <c r="E27" s="4">
        <v>0</v>
      </c>
      <c r="F27" s="4">
        <v>3</v>
      </c>
      <c r="G27" s="4">
        <v>0</v>
      </c>
      <c r="H27" s="11">
        <f t="shared" si="0"/>
        <v>3</v>
      </c>
      <c r="I27" s="4">
        <v>4</v>
      </c>
      <c r="J27" s="4">
        <v>18</v>
      </c>
      <c r="K27" s="4">
        <v>0</v>
      </c>
      <c r="L27" s="13">
        <f t="shared" si="1"/>
        <v>22</v>
      </c>
      <c r="M27" s="4">
        <v>24</v>
      </c>
      <c r="N27" s="4">
        <v>46</v>
      </c>
    </row>
    <row r="28" spans="3:14" ht="18.75" x14ac:dyDescent="0.25">
      <c r="C28" s="4" t="s">
        <v>58</v>
      </c>
      <c r="D28" s="6" t="s">
        <v>59</v>
      </c>
      <c r="E28" s="4">
        <v>0</v>
      </c>
      <c r="F28" s="4">
        <v>0</v>
      </c>
      <c r="G28" s="4">
        <v>0</v>
      </c>
      <c r="H28" s="11">
        <f t="shared" si="0"/>
        <v>0</v>
      </c>
      <c r="I28" s="4">
        <v>0</v>
      </c>
      <c r="J28" s="4">
        <v>7</v>
      </c>
      <c r="K28" s="4">
        <v>0</v>
      </c>
      <c r="L28" s="13">
        <f t="shared" si="1"/>
        <v>7</v>
      </c>
      <c r="M28" s="4">
        <v>4</v>
      </c>
      <c r="N28" s="4">
        <v>20</v>
      </c>
    </row>
    <row r="29" spans="3:14" ht="18.75" x14ac:dyDescent="0.25">
      <c r="C29" s="4" t="s">
        <v>60</v>
      </c>
      <c r="D29" s="6" t="s">
        <v>61</v>
      </c>
      <c r="E29" s="4">
        <v>5</v>
      </c>
      <c r="F29" s="4">
        <v>17</v>
      </c>
      <c r="G29" s="4">
        <v>0</v>
      </c>
      <c r="H29" s="11">
        <f t="shared" si="0"/>
        <v>22</v>
      </c>
      <c r="I29" s="4">
        <v>0</v>
      </c>
      <c r="J29" s="4">
        <v>3</v>
      </c>
      <c r="K29" s="4">
        <v>0</v>
      </c>
      <c r="L29" s="13">
        <f t="shared" si="1"/>
        <v>3</v>
      </c>
      <c r="M29" s="4">
        <v>8</v>
      </c>
      <c r="N29" s="4">
        <v>18</v>
      </c>
    </row>
    <row r="30" spans="3:14" ht="18.75" x14ac:dyDescent="0.25">
      <c r="C30" s="4" t="s">
        <v>62</v>
      </c>
      <c r="D30" s="6" t="s">
        <v>63</v>
      </c>
      <c r="E30" s="4">
        <v>2</v>
      </c>
      <c r="F30" s="4">
        <v>1</v>
      </c>
      <c r="G30" s="4">
        <v>0</v>
      </c>
      <c r="H30" s="11">
        <f t="shared" si="0"/>
        <v>3</v>
      </c>
      <c r="I30" s="4">
        <v>7</v>
      </c>
      <c r="J30" s="4">
        <v>0</v>
      </c>
      <c r="K30" s="4">
        <v>0</v>
      </c>
      <c r="L30" s="13">
        <f t="shared" si="1"/>
        <v>7</v>
      </c>
      <c r="M30" s="4">
        <v>2</v>
      </c>
      <c r="N30" s="4">
        <v>9</v>
      </c>
    </row>
    <row r="31" spans="3:14" ht="18.75" x14ac:dyDescent="0.25">
      <c r="C31" s="4" t="s">
        <v>64</v>
      </c>
      <c r="D31" s="6" t="s">
        <v>65</v>
      </c>
      <c r="E31" s="4">
        <v>0</v>
      </c>
      <c r="F31" s="4">
        <v>0</v>
      </c>
      <c r="G31" s="4">
        <v>0</v>
      </c>
      <c r="H31" s="11">
        <f t="shared" si="0"/>
        <v>0</v>
      </c>
      <c r="I31" s="4">
        <v>0</v>
      </c>
      <c r="J31" s="4">
        <v>0</v>
      </c>
      <c r="K31" s="4">
        <v>1</v>
      </c>
      <c r="L31" s="13">
        <f t="shared" si="1"/>
        <v>1</v>
      </c>
      <c r="M31" s="4">
        <v>18</v>
      </c>
      <c r="N31" s="4">
        <v>18</v>
      </c>
    </row>
    <row r="32" spans="3:14" ht="18.75" x14ac:dyDescent="0.25">
      <c r="C32" s="4" t="s">
        <v>66</v>
      </c>
      <c r="D32" s="6" t="s">
        <v>67</v>
      </c>
      <c r="E32" s="4">
        <v>1</v>
      </c>
      <c r="F32" s="4">
        <v>6</v>
      </c>
      <c r="G32" s="4">
        <v>0</v>
      </c>
      <c r="H32" s="11">
        <f t="shared" si="0"/>
        <v>7</v>
      </c>
      <c r="I32" s="4">
        <v>0</v>
      </c>
      <c r="J32" s="4">
        <v>5</v>
      </c>
      <c r="K32" s="4">
        <v>0</v>
      </c>
      <c r="L32" s="13">
        <f t="shared" si="1"/>
        <v>5</v>
      </c>
      <c r="M32" s="4">
        <v>15</v>
      </c>
      <c r="N32" s="4">
        <v>17</v>
      </c>
    </row>
    <row r="33" spans="3:14" ht="18.75" x14ac:dyDescent="0.25">
      <c r="C33" s="4" t="s">
        <v>68</v>
      </c>
      <c r="D33" s="6" t="s">
        <v>69</v>
      </c>
      <c r="E33" s="4">
        <v>8</v>
      </c>
      <c r="F33" s="4">
        <v>8</v>
      </c>
      <c r="G33" s="4">
        <v>0</v>
      </c>
      <c r="H33" s="11">
        <f t="shared" si="0"/>
        <v>16</v>
      </c>
      <c r="I33" s="4">
        <v>7</v>
      </c>
      <c r="J33" s="4">
        <v>7</v>
      </c>
      <c r="K33" s="4">
        <v>0</v>
      </c>
      <c r="L33" s="13">
        <f t="shared" si="1"/>
        <v>14</v>
      </c>
      <c r="M33" s="4">
        <v>17</v>
      </c>
      <c r="N33" s="4">
        <v>55</v>
      </c>
    </row>
    <row r="34" spans="3:14" ht="18.75" x14ac:dyDescent="0.25">
      <c r="C34" s="4" t="s">
        <v>70</v>
      </c>
      <c r="D34" s="6" t="s">
        <v>71</v>
      </c>
      <c r="E34" s="4">
        <v>1</v>
      </c>
      <c r="F34" s="4">
        <v>6</v>
      </c>
      <c r="G34" s="4">
        <v>0</v>
      </c>
      <c r="H34" s="11">
        <f t="shared" si="0"/>
        <v>7</v>
      </c>
      <c r="I34" s="4">
        <v>4</v>
      </c>
      <c r="J34" s="4">
        <v>11</v>
      </c>
      <c r="K34" s="4">
        <v>0</v>
      </c>
      <c r="L34" s="13">
        <f t="shared" si="1"/>
        <v>15</v>
      </c>
      <c r="M34" s="4">
        <v>43</v>
      </c>
      <c r="N34" s="4">
        <v>83</v>
      </c>
    </row>
    <row r="35" spans="3:14" ht="18.75" x14ac:dyDescent="0.25">
      <c r="C35" s="4" t="s">
        <v>72</v>
      </c>
      <c r="D35" s="6" t="s">
        <v>73</v>
      </c>
      <c r="E35" s="4">
        <v>3</v>
      </c>
      <c r="F35" s="4">
        <v>4</v>
      </c>
      <c r="G35" s="4">
        <v>0</v>
      </c>
      <c r="H35" s="11">
        <f t="shared" si="0"/>
        <v>7</v>
      </c>
      <c r="I35" s="4">
        <v>0</v>
      </c>
      <c r="J35" s="4">
        <v>1</v>
      </c>
      <c r="K35" s="4">
        <v>0</v>
      </c>
      <c r="L35" s="13">
        <f>I35+J35+K35</f>
        <v>1</v>
      </c>
      <c r="M35" s="4">
        <v>40</v>
      </c>
      <c r="N35" s="4">
        <v>31</v>
      </c>
    </row>
    <row r="36" spans="3:14" ht="18.75" x14ac:dyDescent="0.25">
      <c r="C36" s="4" t="s">
        <v>74</v>
      </c>
      <c r="D36" s="6" t="s">
        <v>75</v>
      </c>
      <c r="E36" s="4">
        <v>1</v>
      </c>
      <c r="F36" s="4">
        <v>1</v>
      </c>
      <c r="G36" s="4">
        <v>0</v>
      </c>
      <c r="H36" s="11">
        <f t="shared" si="0"/>
        <v>2</v>
      </c>
      <c r="I36" s="4">
        <v>5</v>
      </c>
      <c r="J36" s="4">
        <v>15</v>
      </c>
      <c r="K36" s="4">
        <v>0</v>
      </c>
      <c r="L36" s="13">
        <f>I36+J36+K36</f>
        <v>20</v>
      </c>
      <c r="M36" s="4">
        <v>10</v>
      </c>
      <c r="N36" s="4">
        <v>50</v>
      </c>
    </row>
    <row r="37" spans="3:14" ht="18.75" x14ac:dyDescent="0.25">
      <c r="C37" s="4" t="s">
        <v>76</v>
      </c>
      <c r="D37" s="6" t="s">
        <v>77</v>
      </c>
      <c r="E37" s="4">
        <v>1</v>
      </c>
      <c r="F37" s="4">
        <v>6</v>
      </c>
      <c r="G37" s="4">
        <v>0</v>
      </c>
      <c r="H37" s="11">
        <f t="shared" si="0"/>
        <v>7</v>
      </c>
      <c r="I37" s="4">
        <v>0</v>
      </c>
      <c r="J37" s="4">
        <v>19</v>
      </c>
      <c r="K37" s="4">
        <v>0</v>
      </c>
      <c r="L37" s="13">
        <f t="shared" ref="L37:L40" si="2">I37+J37+K37</f>
        <v>19</v>
      </c>
      <c r="M37" s="4">
        <v>0</v>
      </c>
      <c r="N37" s="4">
        <v>0</v>
      </c>
    </row>
    <row r="38" spans="3:14" ht="18.75" x14ac:dyDescent="0.25">
      <c r="C38" s="4" t="s">
        <v>78</v>
      </c>
      <c r="D38" s="6" t="s">
        <v>79</v>
      </c>
      <c r="E38" s="4">
        <v>1</v>
      </c>
      <c r="F38" s="4">
        <v>3</v>
      </c>
      <c r="G38" s="4">
        <v>0</v>
      </c>
      <c r="H38" s="11">
        <f t="shared" si="0"/>
        <v>4</v>
      </c>
      <c r="I38" s="4">
        <v>2</v>
      </c>
      <c r="J38" s="4">
        <v>17</v>
      </c>
      <c r="K38" s="4">
        <v>0</v>
      </c>
      <c r="L38" s="13">
        <f t="shared" si="2"/>
        <v>19</v>
      </c>
      <c r="M38" s="4">
        <v>2</v>
      </c>
      <c r="N38" s="4">
        <v>7</v>
      </c>
    </row>
    <row r="39" spans="3:14" ht="18.75" x14ac:dyDescent="0.25">
      <c r="C39" s="4" t="s">
        <v>80</v>
      </c>
      <c r="D39" s="6" t="s">
        <v>81</v>
      </c>
      <c r="E39" s="4">
        <v>6</v>
      </c>
      <c r="F39" s="4">
        <v>18</v>
      </c>
      <c r="G39" s="4">
        <v>0</v>
      </c>
      <c r="H39" s="11">
        <f t="shared" si="0"/>
        <v>24</v>
      </c>
      <c r="I39" s="4">
        <v>1</v>
      </c>
      <c r="J39" s="4">
        <v>0</v>
      </c>
      <c r="K39" s="4">
        <v>0</v>
      </c>
      <c r="L39" s="13">
        <f t="shared" si="2"/>
        <v>1</v>
      </c>
      <c r="M39" s="4">
        <v>24</v>
      </c>
      <c r="N39" s="4">
        <v>134</v>
      </c>
    </row>
    <row r="40" spans="3:14" ht="18.75" x14ac:dyDescent="0.25">
      <c r="C40" s="4" t="s">
        <v>82</v>
      </c>
      <c r="D40" s="6" t="s">
        <v>83</v>
      </c>
      <c r="E40" s="4">
        <v>3</v>
      </c>
      <c r="F40" s="4">
        <v>15</v>
      </c>
      <c r="G40" s="4">
        <v>0</v>
      </c>
      <c r="H40" s="11">
        <f t="shared" si="0"/>
        <v>18</v>
      </c>
      <c r="I40" s="4">
        <v>3</v>
      </c>
      <c r="J40" s="4">
        <v>4</v>
      </c>
      <c r="K40" s="4">
        <v>0</v>
      </c>
      <c r="L40" s="13">
        <f t="shared" si="2"/>
        <v>7</v>
      </c>
      <c r="M40" s="4">
        <v>3</v>
      </c>
      <c r="N40" s="4">
        <v>3</v>
      </c>
    </row>
    <row r="41" spans="3:14" ht="18.75" x14ac:dyDescent="0.25">
      <c r="C41" s="38" t="s">
        <v>84</v>
      </c>
      <c r="D41" s="38"/>
      <c r="E41" s="4">
        <v>109</v>
      </c>
      <c r="F41" s="4">
        <v>279</v>
      </c>
      <c r="G41" s="4">
        <v>0</v>
      </c>
      <c r="H41" s="7">
        <f t="shared" si="0"/>
        <v>388</v>
      </c>
      <c r="I41" s="4">
        <v>76</v>
      </c>
      <c r="J41" s="4">
        <v>397</v>
      </c>
      <c r="K41" s="4">
        <v>3</v>
      </c>
      <c r="L41" s="7">
        <f>I41+J41+K41</f>
        <v>476</v>
      </c>
      <c r="M41" s="4">
        <v>654</v>
      </c>
      <c r="N41" s="4">
        <v>1450</v>
      </c>
    </row>
  </sheetData>
  <mergeCells count="5">
    <mergeCell ref="C4:C5"/>
    <mergeCell ref="E4:G4"/>
    <mergeCell ref="I4:K4"/>
    <mergeCell ref="M4:N4"/>
    <mergeCell ref="C41:D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DA335-CCEF-4533-862E-8CA0D484D7F0}">
  <dimension ref="C3:N41"/>
  <sheetViews>
    <sheetView tabSelected="1" topLeftCell="A28" workbookViewId="0">
      <selection activeCell="K16" sqref="K16"/>
    </sheetView>
  </sheetViews>
  <sheetFormatPr defaultRowHeight="15" x14ac:dyDescent="0.25"/>
  <cols>
    <col min="4" max="4" width="17.85546875" customWidth="1"/>
  </cols>
  <sheetData>
    <row r="3" spans="3:14" x14ac:dyDescent="0.25">
      <c r="C3" s="1">
        <v>46054</v>
      </c>
    </row>
    <row r="4" spans="3:14" ht="28.15" customHeight="1" x14ac:dyDescent="0.25">
      <c r="C4" s="32" t="s">
        <v>0</v>
      </c>
      <c r="D4" s="2" t="s">
        <v>1</v>
      </c>
      <c r="E4" s="33" t="s">
        <v>3</v>
      </c>
      <c r="F4" s="33"/>
      <c r="G4" s="33"/>
      <c r="H4" s="9" t="s">
        <v>85</v>
      </c>
      <c r="I4" s="34" t="s">
        <v>4</v>
      </c>
      <c r="J4" s="34"/>
      <c r="K4" s="34"/>
      <c r="L4" s="14" t="s">
        <v>85</v>
      </c>
      <c r="M4" s="35" t="s">
        <v>5</v>
      </c>
      <c r="N4" s="35"/>
    </row>
    <row r="5" spans="3:14" ht="94.5" x14ac:dyDescent="0.25">
      <c r="C5" s="32"/>
      <c r="D5" s="2" t="s">
        <v>2</v>
      </c>
      <c r="E5" s="2" t="s">
        <v>6</v>
      </c>
      <c r="F5" s="2" t="s">
        <v>7</v>
      </c>
      <c r="G5" s="2" t="s">
        <v>8</v>
      </c>
      <c r="H5" s="9"/>
      <c r="I5" s="15" t="s">
        <v>9</v>
      </c>
      <c r="J5" s="15" t="s">
        <v>10</v>
      </c>
      <c r="K5" s="15" t="s">
        <v>11</v>
      </c>
      <c r="L5" s="13"/>
      <c r="M5" s="15" t="s">
        <v>12</v>
      </c>
      <c r="N5" s="15" t="s">
        <v>13</v>
      </c>
    </row>
    <row r="6" spans="3:14" ht="18.75" x14ac:dyDescent="0.25">
      <c r="C6" s="4" t="s">
        <v>14</v>
      </c>
      <c r="D6" s="6" t="s">
        <v>15</v>
      </c>
      <c r="E6" s="4">
        <v>15</v>
      </c>
      <c r="F6" s="4">
        <v>21</v>
      </c>
      <c r="G6" s="4">
        <v>0</v>
      </c>
      <c r="H6" s="11">
        <f>E6+F6+G6</f>
        <v>36</v>
      </c>
      <c r="I6" s="4">
        <v>3</v>
      </c>
      <c r="J6" s="4">
        <v>20</v>
      </c>
      <c r="K6" s="4">
        <v>0</v>
      </c>
      <c r="L6" s="13">
        <f>I6+J6+K6</f>
        <v>23</v>
      </c>
      <c r="M6" s="4">
        <v>31</v>
      </c>
      <c r="N6" s="4">
        <v>126</v>
      </c>
    </row>
    <row r="7" spans="3:14" ht="18.75" x14ac:dyDescent="0.25">
      <c r="C7" s="4" t="s">
        <v>16</v>
      </c>
      <c r="D7" s="6" t="s">
        <v>17</v>
      </c>
      <c r="E7" s="4">
        <v>10</v>
      </c>
      <c r="F7" s="4">
        <v>2</v>
      </c>
      <c r="G7" s="4">
        <v>0</v>
      </c>
      <c r="H7" s="11">
        <f>E7+F7+G7</f>
        <v>12</v>
      </c>
      <c r="I7" s="4">
        <v>52</v>
      </c>
      <c r="J7" s="4">
        <v>69</v>
      </c>
      <c r="K7" s="4">
        <v>0</v>
      </c>
      <c r="L7" s="13">
        <f>I7+J7+K7</f>
        <v>121</v>
      </c>
      <c r="M7" s="4">
        <v>37</v>
      </c>
      <c r="N7" s="4">
        <v>72</v>
      </c>
    </row>
    <row r="8" spans="3:14" ht="18.75" x14ac:dyDescent="0.25">
      <c r="C8" s="4" t="s">
        <v>18</v>
      </c>
      <c r="D8" s="6" t="s">
        <v>19</v>
      </c>
      <c r="E8" s="4">
        <v>0</v>
      </c>
      <c r="F8" s="4">
        <v>2</v>
      </c>
      <c r="G8" s="4">
        <v>0</v>
      </c>
      <c r="H8" s="11">
        <f t="shared" ref="H8:H41" si="0">E8+F8+G8</f>
        <v>2</v>
      </c>
      <c r="I8" s="4">
        <v>1</v>
      </c>
      <c r="J8" s="4">
        <v>12</v>
      </c>
      <c r="K8" s="4">
        <v>0</v>
      </c>
      <c r="L8" s="13">
        <f t="shared" ref="L8:L23" si="1">I8+J8+K8</f>
        <v>13</v>
      </c>
      <c r="M8" s="4">
        <v>45</v>
      </c>
      <c r="N8" s="4">
        <v>98</v>
      </c>
    </row>
    <row r="9" spans="3:14" ht="18.75" x14ac:dyDescent="0.25">
      <c r="C9" s="4" t="s">
        <v>20</v>
      </c>
      <c r="D9" s="6" t="s">
        <v>21</v>
      </c>
      <c r="E9" s="4">
        <v>4</v>
      </c>
      <c r="F9" s="4">
        <v>5</v>
      </c>
      <c r="G9" s="4">
        <v>0</v>
      </c>
      <c r="H9" s="11">
        <f t="shared" si="0"/>
        <v>9</v>
      </c>
      <c r="I9" s="4">
        <v>4</v>
      </c>
      <c r="J9" s="4">
        <v>26</v>
      </c>
      <c r="K9" s="4">
        <v>0</v>
      </c>
      <c r="L9" s="13">
        <f t="shared" si="1"/>
        <v>30</v>
      </c>
      <c r="M9" s="4">
        <v>24</v>
      </c>
      <c r="N9" s="4">
        <v>87</v>
      </c>
    </row>
    <row r="10" spans="3:14" ht="18.75" x14ac:dyDescent="0.25">
      <c r="C10" s="4" t="s">
        <v>22</v>
      </c>
      <c r="D10" s="6" t="s">
        <v>23</v>
      </c>
      <c r="E10" s="4">
        <v>7</v>
      </c>
      <c r="F10" s="4">
        <v>7</v>
      </c>
      <c r="G10" s="4">
        <v>0</v>
      </c>
      <c r="H10" s="11">
        <f t="shared" si="0"/>
        <v>14</v>
      </c>
      <c r="I10" s="4">
        <v>8</v>
      </c>
      <c r="J10" s="4">
        <v>23</v>
      </c>
      <c r="K10" s="4">
        <v>2</v>
      </c>
      <c r="L10" s="13">
        <f t="shared" si="1"/>
        <v>33</v>
      </c>
      <c r="M10" s="4">
        <v>43</v>
      </c>
      <c r="N10" s="4">
        <v>167</v>
      </c>
    </row>
    <row r="11" spans="3:14" ht="18.75" x14ac:dyDescent="0.25">
      <c r="C11" s="4" t="s">
        <v>24</v>
      </c>
      <c r="D11" s="6" t="s">
        <v>25</v>
      </c>
      <c r="E11" s="4">
        <v>10</v>
      </c>
      <c r="F11" s="4">
        <v>11</v>
      </c>
      <c r="G11" s="4">
        <v>0</v>
      </c>
      <c r="H11" s="11">
        <f t="shared" si="0"/>
        <v>21</v>
      </c>
      <c r="I11" s="4">
        <v>5</v>
      </c>
      <c r="J11" s="4">
        <v>16</v>
      </c>
      <c r="K11" s="4">
        <v>0</v>
      </c>
      <c r="L11" s="13">
        <f t="shared" si="1"/>
        <v>21</v>
      </c>
      <c r="M11" s="4">
        <v>49</v>
      </c>
      <c r="N11" s="4">
        <v>65</v>
      </c>
    </row>
    <row r="12" spans="3:14" ht="18.75" x14ac:dyDescent="0.25">
      <c r="C12" s="4" t="s">
        <v>26</v>
      </c>
      <c r="D12" s="6" t="s">
        <v>27</v>
      </c>
      <c r="E12" s="4">
        <v>12</v>
      </c>
      <c r="F12" s="4">
        <v>17</v>
      </c>
      <c r="G12" s="4">
        <v>0</v>
      </c>
      <c r="H12" s="11">
        <f t="shared" si="0"/>
        <v>29</v>
      </c>
      <c r="I12" s="4">
        <v>3</v>
      </c>
      <c r="J12" s="4">
        <v>31</v>
      </c>
      <c r="K12" s="4">
        <v>2</v>
      </c>
      <c r="L12" s="13">
        <f t="shared" si="1"/>
        <v>36</v>
      </c>
      <c r="M12" s="4">
        <v>75</v>
      </c>
      <c r="N12" s="4">
        <v>95</v>
      </c>
    </row>
    <row r="13" spans="3:14" ht="18.75" x14ac:dyDescent="0.25">
      <c r="C13" s="4" t="s">
        <v>28</v>
      </c>
      <c r="D13" s="6" t="s">
        <v>29</v>
      </c>
      <c r="E13" s="4">
        <v>22</v>
      </c>
      <c r="F13" s="4">
        <v>9</v>
      </c>
      <c r="G13" s="4">
        <v>0</v>
      </c>
      <c r="H13" s="11">
        <f t="shared" si="0"/>
        <v>31</v>
      </c>
      <c r="I13" s="4">
        <v>0</v>
      </c>
      <c r="J13" s="4">
        <v>11</v>
      </c>
      <c r="K13" s="4">
        <v>0</v>
      </c>
      <c r="L13" s="13">
        <f t="shared" si="1"/>
        <v>11</v>
      </c>
      <c r="M13" s="4">
        <v>16</v>
      </c>
      <c r="N13" s="4">
        <v>62</v>
      </c>
    </row>
    <row r="14" spans="3:14" ht="18.75" x14ac:dyDescent="0.25">
      <c r="C14" s="4" t="s">
        <v>30</v>
      </c>
      <c r="D14" s="6" t="s">
        <v>31</v>
      </c>
      <c r="E14" s="4">
        <v>23</v>
      </c>
      <c r="F14" s="4">
        <v>36</v>
      </c>
      <c r="G14" s="4">
        <v>0</v>
      </c>
      <c r="H14" s="11">
        <f t="shared" si="0"/>
        <v>59</v>
      </c>
      <c r="I14" s="4">
        <v>2</v>
      </c>
      <c r="J14" s="4">
        <v>11</v>
      </c>
      <c r="K14" s="4">
        <v>0</v>
      </c>
      <c r="L14" s="13">
        <f t="shared" si="1"/>
        <v>13</v>
      </c>
      <c r="M14" s="4">
        <v>55</v>
      </c>
      <c r="N14" s="4">
        <v>51</v>
      </c>
    </row>
    <row r="15" spans="3:14" ht="18.75" x14ac:dyDescent="0.25">
      <c r="C15" s="4" t="s">
        <v>32</v>
      </c>
      <c r="D15" s="6" t="s">
        <v>33</v>
      </c>
      <c r="E15" s="4">
        <v>2</v>
      </c>
      <c r="F15" s="4">
        <v>1</v>
      </c>
      <c r="G15" s="4">
        <v>0</v>
      </c>
      <c r="H15" s="11">
        <f t="shared" si="0"/>
        <v>3</v>
      </c>
      <c r="I15" s="4">
        <v>6</v>
      </c>
      <c r="J15" s="4">
        <v>14</v>
      </c>
      <c r="K15" s="4">
        <v>0</v>
      </c>
      <c r="L15" s="13">
        <f t="shared" si="1"/>
        <v>20</v>
      </c>
      <c r="M15" s="4">
        <v>61</v>
      </c>
      <c r="N15" s="4">
        <v>108</v>
      </c>
    </row>
    <row r="16" spans="3:14" ht="18.75" x14ac:dyDescent="0.25">
      <c r="C16" s="4" t="s">
        <v>34</v>
      </c>
      <c r="D16" s="6" t="s">
        <v>35</v>
      </c>
      <c r="E16" s="4">
        <v>2</v>
      </c>
      <c r="F16" s="4">
        <v>17</v>
      </c>
      <c r="G16" s="4">
        <v>0</v>
      </c>
      <c r="H16" s="11">
        <f t="shared" si="0"/>
        <v>19</v>
      </c>
      <c r="I16" s="4">
        <v>1</v>
      </c>
      <c r="J16" s="4">
        <v>8</v>
      </c>
      <c r="K16" s="4">
        <v>1</v>
      </c>
      <c r="L16" s="13">
        <f t="shared" si="1"/>
        <v>10</v>
      </c>
      <c r="M16" s="4">
        <v>20</v>
      </c>
      <c r="N16" s="4">
        <v>38</v>
      </c>
    </row>
    <row r="17" spans="3:14" ht="18.75" x14ac:dyDescent="0.25">
      <c r="C17" s="4" t="s">
        <v>36</v>
      </c>
      <c r="D17" s="6" t="s">
        <v>37</v>
      </c>
      <c r="E17" s="4">
        <v>7</v>
      </c>
      <c r="F17" s="4">
        <v>1</v>
      </c>
      <c r="G17" s="4">
        <v>0</v>
      </c>
      <c r="H17" s="11">
        <f t="shared" si="0"/>
        <v>8</v>
      </c>
      <c r="I17" s="4">
        <v>1</v>
      </c>
      <c r="J17" s="4">
        <v>13</v>
      </c>
      <c r="K17" s="4">
        <v>0</v>
      </c>
      <c r="L17" s="13">
        <f t="shared" si="1"/>
        <v>14</v>
      </c>
      <c r="M17" s="4">
        <v>20</v>
      </c>
      <c r="N17" s="4">
        <v>73</v>
      </c>
    </row>
    <row r="18" spans="3:14" ht="18.75" x14ac:dyDescent="0.25">
      <c r="C18" s="6" t="s">
        <v>38</v>
      </c>
      <c r="D18" s="6" t="s">
        <v>39</v>
      </c>
      <c r="E18" s="4">
        <v>0</v>
      </c>
      <c r="F18" s="4">
        <v>11</v>
      </c>
      <c r="G18" s="4">
        <v>0</v>
      </c>
      <c r="H18" s="11">
        <f t="shared" si="0"/>
        <v>11</v>
      </c>
      <c r="I18" s="4">
        <v>20</v>
      </c>
      <c r="J18" s="4">
        <v>25</v>
      </c>
      <c r="K18" s="4">
        <v>0</v>
      </c>
      <c r="L18" s="13">
        <f t="shared" si="1"/>
        <v>45</v>
      </c>
      <c r="M18" s="4">
        <v>67</v>
      </c>
      <c r="N18" s="4">
        <v>184</v>
      </c>
    </row>
    <row r="19" spans="3:14" ht="18.75" x14ac:dyDescent="0.25">
      <c r="C19" s="6" t="s">
        <v>40</v>
      </c>
      <c r="D19" s="6" t="s">
        <v>41</v>
      </c>
      <c r="E19" s="4">
        <v>4</v>
      </c>
      <c r="F19" s="4">
        <v>3</v>
      </c>
      <c r="G19" s="4">
        <v>0</v>
      </c>
      <c r="H19" s="11">
        <f t="shared" si="0"/>
        <v>7</v>
      </c>
      <c r="I19" s="4">
        <v>3</v>
      </c>
      <c r="J19" s="4">
        <v>6</v>
      </c>
      <c r="K19" s="4">
        <v>0</v>
      </c>
      <c r="L19" s="13">
        <f t="shared" si="1"/>
        <v>9</v>
      </c>
      <c r="M19" s="4">
        <v>73</v>
      </c>
      <c r="N19" s="4">
        <v>43</v>
      </c>
    </row>
    <row r="20" spans="3:14" ht="18.75" x14ac:dyDescent="0.25">
      <c r="C20" s="6" t="s">
        <v>42</v>
      </c>
      <c r="D20" s="6" t="s">
        <v>43</v>
      </c>
      <c r="E20" s="4">
        <v>7</v>
      </c>
      <c r="F20" s="4">
        <v>8</v>
      </c>
      <c r="G20" s="4">
        <v>0</v>
      </c>
      <c r="H20" s="11">
        <f t="shared" si="0"/>
        <v>15</v>
      </c>
      <c r="I20" s="4">
        <v>8</v>
      </c>
      <c r="J20" s="4">
        <v>23</v>
      </c>
      <c r="K20" s="4">
        <v>0</v>
      </c>
      <c r="L20" s="13">
        <f t="shared" si="1"/>
        <v>31</v>
      </c>
      <c r="M20" s="4">
        <v>29</v>
      </c>
      <c r="N20" s="4">
        <v>53</v>
      </c>
    </row>
    <row r="21" spans="3:14" ht="18.75" x14ac:dyDescent="0.25">
      <c r="C21" s="6" t="s">
        <v>44</v>
      </c>
      <c r="D21" s="6" t="s">
        <v>45</v>
      </c>
      <c r="E21" s="4">
        <v>0</v>
      </c>
      <c r="F21" s="4">
        <v>7</v>
      </c>
      <c r="G21" s="4">
        <v>0</v>
      </c>
      <c r="H21" s="11">
        <f t="shared" si="0"/>
        <v>7</v>
      </c>
      <c r="I21" s="4">
        <v>3</v>
      </c>
      <c r="J21" s="4">
        <v>18</v>
      </c>
      <c r="K21" s="4">
        <v>0</v>
      </c>
      <c r="L21" s="13">
        <f t="shared" si="1"/>
        <v>21</v>
      </c>
      <c r="M21" s="4">
        <v>22</v>
      </c>
      <c r="N21" s="4">
        <v>88</v>
      </c>
    </row>
    <row r="22" spans="3:14" ht="18.75" x14ac:dyDescent="0.25">
      <c r="C22" s="6" t="s">
        <v>46</v>
      </c>
      <c r="D22" s="6" t="s">
        <v>47</v>
      </c>
      <c r="E22" s="4">
        <v>7</v>
      </c>
      <c r="F22" s="4">
        <v>15</v>
      </c>
      <c r="G22" s="4">
        <v>0</v>
      </c>
      <c r="H22" s="11">
        <f t="shared" si="0"/>
        <v>22</v>
      </c>
      <c r="I22" s="4">
        <v>0</v>
      </c>
      <c r="J22" s="4">
        <v>45</v>
      </c>
      <c r="K22" s="4">
        <v>0</v>
      </c>
      <c r="L22" s="13">
        <f t="shared" si="1"/>
        <v>45</v>
      </c>
      <c r="M22" s="4">
        <v>9</v>
      </c>
      <c r="N22" s="4">
        <v>18</v>
      </c>
    </row>
    <row r="23" spans="3:14" ht="18.75" x14ac:dyDescent="0.25">
      <c r="C23" s="6" t="s">
        <v>48</v>
      </c>
      <c r="D23" s="6" t="s">
        <v>49</v>
      </c>
      <c r="E23" s="4">
        <v>5</v>
      </c>
      <c r="F23" s="4">
        <v>11</v>
      </c>
      <c r="G23" s="4">
        <v>0</v>
      </c>
      <c r="H23" s="11">
        <f t="shared" si="0"/>
        <v>16</v>
      </c>
      <c r="I23" s="4">
        <v>1</v>
      </c>
      <c r="J23" s="4">
        <v>17</v>
      </c>
      <c r="K23" s="4">
        <v>0</v>
      </c>
      <c r="L23" s="13">
        <f t="shared" si="1"/>
        <v>18</v>
      </c>
      <c r="M23" s="4">
        <v>65</v>
      </c>
      <c r="N23" s="4">
        <v>113</v>
      </c>
    </row>
    <row r="24" spans="3:14" ht="18.75" x14ac:dyDescent="0.25">
      <c r="C24" s="6" t="s">
        <v>50</v>
      </c>
      <c r="D24" s="6" t="s">
        <v>51</v>
      </c>
      <c r="E24" s="4">
        <v>15</v>
      </c>
      <c r="F24" s="4">
        <v>7</v>
      </c>
      <c r="G24" s="4">
        <v>0</v>
      </c>
      <c r="H24" s="11">
        <f t="shared" si="0"/>
        <v>22</v>
      </c>
      <c r="I24" s="4">
        <v>0</v>
      </c>
      <c r="J24" s="4">
        <v>7</v>
      </c>
      <c r="K24" s="4">
        <v>0</v>
      </c>
      <c r="L24" s="13">
        <f>I24+J24+K24</f>
        <v>7</v>
      </c>
      <c r="M24" s="4">
        <v>31</v>
      </c>
      <c r="N24" s="4">
        <v>44</v>
      </c>
    </row>
    <row r="25" spans="3:14" ht="18.75" x14ac:dyDescent="0.25">
      <c r="C25" s="6" t="s">
        <v>52</v>
      </c>
      <c r="D25" s="6" t="s">
        <v>53</v>
      </c>
      <c r="E25" s="4">
        <v>11</v>
      </c>
      <c r="F25" s="4">
        <v>7</v>
      </c>
      <c r="G25" s="4">
        <v>0</v>
      </c>
      <c r="H25" s="11">
        <f t="shared" si="0"/>
        <v>18</v>
      </c>
      <c r="I25" s="4">
        <v>0</v>
      </c>
      <c r="J25" s="4">
        <v>26</v>
      </c>
      <c r="K25" s="4">
        <v>0</v>
      </c>
      <c r="L25" s="13">
        <f>I25+J25+K25</f>
        <v>26</v>
      </c>
      <c r="M25" s="4">
        <v>21</v>
      </c>
      <c r="N25" s="4">
        <v>90</v>
      </c>
    </row>
    <row r="26" spans="3:14" ht="18.75" x14ac:dyDescent="0.25">
      <c r="C26" s="6" t="s">
        <v>54</v>
      </c>
      <c r="D26" s="6" t="s">
        <v>55</v>
      </c>
      <c r="E26" s="4">
        <v>6</v>
      </c>
      <c r="F26" s="4">
        <v>12</v>
      </c>
      <c r="G26" s="4">
        <v>0</v>
      </c>
      <c r="H26" s="11">
        <f t="shared" si="0"/>
        <v>18</v>
      </c>
      <c r="I26" s="4">
        <v>2</v>
      </c>
      <c r="J26" s="4">
        <v>39</v>
      </c>
      <c r="K26" s="4">
        <v>1</v>
      </c>
      <c r="L26" s="13">
        <f t="shared" ref="L26:L41" si="2">I26+J26+K26</f>
        <v>42</v>
      </c>
      <c r="M26" s="4">
        <v>91</v>
      </c>
      <c r="N26" s="4">
        <v>76</v>
      </c>
    </row>
    <row r="27" spans="3:14" ht="18.75" x14ac:dyDescent="0.25">
      <c r="C27" s="6" t="s">
        <v>56</v>
      </c>
      <c r="D27" s="6" t="s">
        <v>57</v>
      </c>
      <c r="E27" s="4">
        <v>3</v>
      </c>
      <c r="F27" s="4">
        <v>14</v>
      </c>
      <c r="G27" s="4">
        <v>0</v>
      </c>
      <c r="H27" s="11">
        <f t="shared" si="0"/>
        <v>17</v>
      </c>
      <c r="I27" s="4">
        <v>2</v>
      </c>
      <c r="J27" s="4">
        <v>25</v>
      </c>
      <c r="K27" s="4">
        <v>1</v>
      </c>
      <c r="L27" s="13">
        <f t="shared" si="2"/>
        <v>28</v>
      </c>
      <c r="M27" s="4">
        <v>97</v>
      </c>
      <c r="N27" s="4">
        <v>77</v>
      </c>
    </row>
    <row r="28" spans="3:14" ht="18.75" x14ac:dyDescent="0.25">
      <c r="C28" s="6" t="s">
        <v>58</v>
      </c>
      <c r="D28" s="6" t="s">
        <v>59</v>
      </c>
      <c r="E28" s="4">
        <v>2</v>
      </c>
      <c r="F28" s="4">
        <v>18</v>
      </c>
      <c r="G28" s="4">
        <v>1</v>
      </c>
      <c r="H28" s="11">
        <f t="shared" si="0"/>
        <v>21</v>
      </c>
      <c r="I28" s="4">
        <v>7</v>
      </c>
      <c r="J28" s="4">
        <v>14</v>
      </c>
      <c r="K28" s="4">
        <v>0</v>
      </c>
      <c r="L28" s="13">
        <f t="shared" si="2"/>
        <v>21</v>
      </c>
      <c r="M28" s="4">
        <v>14</v>
      </c>
      <c r="N28" s="4">
        <v>77</v>
      </c>
    </row>
    <row r="29" spans="3:14" ht="18.75" x14ac:dyDescent="0.25">
      <c r="C29" s="6" t="s">
        <v>60</v>
      </c>
      <c r="D29" s="6" t="s">
        <v>61</v>
      </c>
      <c r="E29" s="4">
        <v>11</v>
      </c>
      <c r="F29" s="4">
        <v>26</v>
      </c>
      <c r="G29" s="4">
        <v>0</v>
      </c>
      <c r="H29" s="11">
        <f t="shared" si="0"/>
        <v>37</v>
      </c>
      <c r="I29" s="4">
        <v>3</v>
      </c>
      <c r="J29" s="4">
        <v>10</v>
      </c>
      <c r="K29" s="4">
        <v>0</v>
      </c>
      <c r="L29" s="13">
        <f t="shared" si="2"/>
        <v>13</v>
      </c>
      <c r="M29" s="4">
        <v>45</v>
      </c>
      <c r="N29" s="4">
        <v>146</v>
      </c>
    </row>
    <row r="30" spans="3:14" ht="18.75" x14ac:dyDescent="0.25">
      <c r="C30" s="6" t="s">
        <v>62</v>
      </c>
      <c r="D30" s="6" t="s">
        <v>63</v>
      </c>
      <c r="E30" s="4">
        <v>5</v>
      </c>
      <c r="F30" s="4">
        <v>9</v>
      </c>
      <c r="G30" s="4">
        <v>0</v>
      </c>
      <c r="H30" s="11">
        <f t="shared" si="0"/>
        <v>14</v>
      </c>
      <c r="I30" s="4">
        <v>3</v>
      </c>
      <c r="J30" s="4">
        <v>18</v>
      </c>
      <c r="K30" s="4">
        <v>1</v>
      </c>
      <c r="L30" s="13">
        <f t="shared" si="2"/>
        <v>22</v>
      </c>
      <c r="M30" s="4">
        <v>27</v>
      </c>
      <c r="N30" s="4">
        <v>106</v>
      </c>
    </row>
    <row r="31" spans="3:14" ht="18.75" x14ac:dyDescent="0.25">
      <c r="C31" s="6" t="s">
        <v>64</v>
      </c>
      <c r="D31" s="6" t="s">
        <v>65</v>
      </c>
      <c r="E31" s="4">
        <v>2</v>
      </c>
      <c r="F31" s="4">
        <v>1</v>
      </c>
      <c r="G31" s="4">
        <v>0</v>
      </c>
      <c r="H31" s="11">
        <f t="shared" si="0"/>
        <v>3</v>
      </c>
      <c r="I31" s="4">
        <v>7</v>
      </c>
      <c r="J31" s="4">
        <v>20</v>
      </c>
      <c r="K31" s="4">
        <v>0</v>
      </c>
      <c r="L31" s="13">
        <f t="shared" si="2"/>
        <v>27</v>
      </c>
      <c r="M31" s="4">
        <v>30</v>
      </c>
      <c r="N31" s="4">
        <v>92</v>
      </c>
    </row>
    <row r="32" spans="3:14" ht="18.75" x14ac:dyDescent="0.25">
      <c r="C32" s="6" t="s">
        <v>66</v>
      </c>
      <c r="D32" s="6" t="s">
        <v>67</v>
      </c>
      <c r="E32" s="4">
        <v>20</v>
      </c>
      <c r="F32" s="4">
        <v>10</v>
      </c>
      <c r="G32" s="4">
        <v>0</v>
      </c>
      <c r="H32" s="11">
        <f t="shared" si="0"/>
        <v>30</v>
      </c>
      <c r="I32" s="4">
        <v>7</v>
      </c>
      <c r="J32" s="4">
        <v>26</v>
      </c>
      <c r="K32" s="4">
        <v>2</v>
      </c>
      <c r="L32" s="13">
        <f t="shared" si="2"/>
        <v>35</v>
      </c>
      <c r="M32" s="4">
        <v>28</v>
      </c>
      <c r="N32" s="4">
        <v>52</v>
      </c>
    </row>
    <row r="33" spans="3:14" ht="18.75" x14ac:dyDescent="0.25">
      <c r="C33" s="6" t="s">
        <v>68</v>
      </c>
      <c r="D33" s="6" t="s">
        <v>69</v>
      </c>
      <c r="E33" s="4">
        <v>6</v>
      </c>
      <c r="F33" s="4">
        <v>15</v>
      </c>
      <c r="G33" s="4">
        <v>0</v>
      </c>
      <c r="H33" s="11">
        <f t="shared" si="0"/>
        <v>21</v>
      </c>
      <c r="I33" s="4">
        <v>19</v>
      </c>
      <c r="J33" s="4">
        <v>14</v>
      </c>
      <c r="K33" s="4">
        <v>0</v>
      </c>
      <c r="L33" s="13">
        <f t="shared" si="2"/>
        <v>33</v>
      </c>
      <c r="M33" s="4">
        <v>23</v>
      </c>
      <c r="N33" s="4">
        <v>154</v>
      </c>
    </row>
    <row r="34" spans="3:14" ht="18.75" x14ac:dyDescent="0.25">
      <c r="C34" s="6" t="s">
        <v>70</v>
      </c>
      <c r="D34" s="6" t="s">
        <v>86</v>
      </c>
      <c r="E34" s="4">
        <v>10</v>
      </c>
      <c r="F34" s="4">
        <v>7</v>
      </c>
      <c r="G34" s="4">
        <v>0</v>
      </c>
      <c r="H34" s="11">
        <f t="shared" si="0"/>
        <v>17</v>
      </c>
      <c r="I34" s="4">
        <v>6</v>
      </c>
      <c r="J34" s="4">
        <v>15</v>
      </c>
      <c r="K34" s="4">
        <v>2</v>
      </c>
      <c r="L34" s="13">
        <f t="shared" si="2"/>
        <v>23</v>
      </c>
      <c r="M34" s="4">
        <v>78</v>
      </c>
      <c r="N34" s="4">
        <v>145</v>
      </c>
    </row>
    <row r="35" spans="3:14" ht="18.75" x14ac:dyDescent="0.25">
      <c r="C35" s="6" t="s">
        <v>72</v>
      </c>
      <c r="D35" s="6" t="s">
        <v>73</v>
      </c>
      <c r="E35" s="4">
        <v>3</v>
      </c>
      <c r="F35" s="4">
        <v>13</v>
      </c>
      <c r="G35" s="4">
        <v>0</v>
      </c>
      <c r="H35" s="11">
        <f t="shared" si="0"/>
        <v>16</v>
      </c>
      <c r="I35" s="4">
        <v>3</v>
      </c>
      <c r="J35" s="4">
        <v>20</v>
      </c>
      <c r="K35" s="4">
        <v>0</v>
      </c>
      <c r="L35" s="13">
        <f t="shared" si="2"/>
        <v>23</v>
      </c>
      <c r="M35" s="4">
        <v>12</v>
      </c>
      <c r="N35" s="4">
        <v>31</v>
      </c>
    </row>
    <row r="36" spans="3:14" ht="18.75" x14ac:dyDescent="0.25">
      <c r="C36" s="6" t="s">
        <v>74</v>
      </c>
      <c r="D36" s="6" t="s">
        <v>75</v>
      </c>
      <c r="E36" s="4">
        <v>20</v>
      </c>
      <c r="F36" s="4">
        <v>3</v>
      </c>
      <c r="G36" s="4">
        <v>0</v>
      </c>
      <c r="H36" s="11">
        <f t="shared" si="0"/>
        <v>23</v>
      </c>
      <c r="I36" s="4">
        <v>3</v>
      </c>
      <c r="J36" s="4">
        <v>20</v>
      </c>
      <c r="K36" s="4">
        <v>0</v>
      </c>
      <c r="L36" s="13">
        <f t="shared" si="2"/>
        <v>23</v>
      </c>
      <c r="M36" s="4">
        <v>17</v>
      </c>
      <c r="N36" s="4">
        <v>94</v>
      </c>
    </row>
    <row r="37" spans="3:14" ht="18.75" x14ac:dyDescent="0.25">
      <c r="C37" s="6" t="s">
        <v>76</v>
      </c>
      <c r="D37" s="6" t="s">
        <v>77</v>
      </c>
      <c r="E37" s="4">
        <v>3</v>
      </c>
      <c r="F37" s="4">
        <v>4</v>
      </c>
      <c r="G37" s="4">
        <v>0</v>
      </c>
      <c r="H37" s="11">
        <f t="shared" si="0"/>
        <v>7</v>
      </c>
      <c r="I37" s="4">
        <v>9</v>
      </c>
      <c r="J37" s="4">
        <v>10</v>
      </c>
      <c r="K37" s="4">
        <v>0</v>
      </c>
      <c r="L37" s="13">
        <f t="shared" si="2"/>
        <v>19</v>
      </c>
      <c r="M37" s="4">
        <v>6</v>
      </c>
      <c r="N37" s="4">
        <v>9</v>
      </c>
    </row>
    <row r="38" spans="3:14" ht="18.75" x14ac:dyDescent="0.25">
      <c r="C38" s="6" t="s">
        <v>78</v>
      </c>
      <c r="D38" s="6" t="s">
        <v>79</v>
      </c>
      <c r="E38" s="4">
        <v>1</v>
      </c>
      <c r="F38" s="4">
        <v>16</v>
      </c>
      <c r="G38" s="4">
        <v>1</v>
      </c>
      <c r="H38" s="11">
        <f t="shared" si="0"/>
        <v>18</v>
      </c>
      <c r="I38" s="4">
        <v>4</v>
      </c>
      <c r="J38" s="4">
        <v>28</v>
      </c>
      <c r="K38" s="4">
        <v>0</v>
      </c>
      <c r="L38" s="13">
        <f t="shared" si="2"/>
        <v>32</v>
      </c>
      <c r="M38" s="4">
        <v>12</v>
      </c>
      <c r="N38" s="4">
        <v>12</v>
      </c>
    </row>
    <row r="39" spans="3:14" ht="18.75" x14ac:dyDescent="0.25">
      <c r="C39" s="6" t="s">
        <v>80</v>
      </c>
      <c r="D39" s="6" t="s">
        <v>81</v>
      </c>
      <c r="E39" s="4">
        <v>20</v>
      </c>
      <c r="F39" s="4">
        <v>13</v>
      </c>
      <c r="G39" s="4">
        <v>0</v>
      </c>
      <c r="H39" s="11">
        <f t="shared" si="0"/>
        <v>33</v>
      </c>
      <c r="I39" s="4">
        <v>1</v>
      </c>
      <c r="J39" s="4">
        <v>21</v>
      </c>
      <c r="K39" s="4">
        <v>0</v>
      </c>
      <c r="L39" s="13">
        <f t="shared" si="2"/>
        <v>22</v>
      </c>
      <c r="M39" s="4">
        <v>24</v>
      </c>
      <c r="N39" s="4">
        <v>119</v>
      </c>
    </row>
    <row r="40" spans="3:14" ht="18.75" x14ac:dyDescent="0.25">
      <c r="C40" s="6" t="s">
        <v>82</v>
      </c>
      <c r="D40" s="6" t="s">
        <v>83</v>
      </c>
      <c r="E40" s="4">
        <v>12</v>
      </c>
      <c r="F40" s="4">
        <v>23</v>
      </c>
      <c r="G40" s="4">
        <v>0</v>
      </c>
      <c r="H40" s="11">
        <f t="shared" si="0"/>
        <v>35</v>
      </c>
      <c r="I40" s="4">
        <v>13</v>
      </c>
      <c r="J40" s="4">
        <v>18</v>
      </c>
      <c r="K40" s="4">
        <v>0</v>
      </c>
      <c r="L40" s="13">
        <f t="shared" si="2"/>
        <v>31</v>
      </c>
      <c r="M40" s="4">
        <v>3</v>
      </c>
      <c r="N40" s="4">
        <v>12</v>
      </c>
    </row>
    <row r="41" spans="3:14" ht="18.75" x14ac:dyDescent="0.25">
      <c r="C41" s="36" t="s">
        <v>87</v>
      </c>
      <c r="D41" s="36"/>
      <c r="E41" s="4">
        <v>287</v>
      </c>
      <c r="F41" s="4">
        <v>382</v>
      </c>
      <c r="G41" s="4">
        <v>2</v>
      </c>
      <c r="H41" s="7">
        <f t="shared" si="0"/>
        <v>671</v>
      </c>
      <c r="I41" s="4">
        <v>210</v>
      </c>
      <c r="J41" s="4">
        <v>719</v>
      </c>
      <c r="K41" s="4">
        <v>12</v>
      </c>
      <c r="L41" s="7">
        <f t="shared" si="2"/>
        <v>941</v>
      </c>
      <c r="M41" s="4">
        <v>1300</v>
      </c>
      <c r="N41" s="4">
        <v>2877</v>
      </c>
    </row>
  </sheetData>
  <mergeCells count="5">
    <mergeCell ref="C4:C5"/>
    <mergeCell ref="E4:G4"/>
    <mergeCell ref="I4:K4"/>
    <mergeCell ref="M4:N4"/>
    <mergeCell ref="C41:D4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4F02-B437-4687-BA59-918B17CA60DA}">
  <dimension ref="C3:N41"/>
  <sheetViews>
    <sheetView topLeftCell="A16" workbookViewId="0">
      <selection activeCell="L6" sqref="L6"/>
    </sheetView>
  </sheetViews>
  <sheetFormatPr defaultRowHeight="15" x14ac:dyDescent="0.25"/>
  <cols>
    <col min="4" max="4" width="14.5703125" customWidth="1"/>
  </cols>
  <sheetData>
    <row r="3" spans="3:14" x14ac:dyDescent="0.25">
      <c r="C3" s="1">
        <v>45658</v>
      </c>
    </row>
    <row r="4" spans="3:14" ht="28.15" customHeight="1" x14ac:dyDescent="0.25">
      <c r="C4" s="40" t="s">
        <v>0</v>
      </c>
      <c r="D4" s="4" t="s">
        <v>1</v>
      </c>
      <c r="E4" s="41" t="s">
        <v>3</v>
      </c>
      <c r="F4" s="41"/>
      <c r="G4" s="41"/>
      <c r="H4" s="26" t="s">
        <v>85</v>
      </c>
      <c r="I4" s="42" t="s">
        <v>4</v>
      </c>
      <c r="J4" s="42"/>
      <c r="K4" s="42"/>
      <c r="L4" s="28" t="s">
        <v>85</v>
      </c>
      <c r="M4" s="43" t="s">
        <v>5</v>
      </c>
      <c r="N4" s="43"/>
    </row>
    <row r="5" spans="3:14" ht="78.75" x14ac:dyDescent="0.25">
      <c r="C5" s="40"/>
      <c r="D5" s="4" t="s">
        <v>2</v>
      </c>
      <c r="E5" s="6" t="s">
        <v>6</v>
      </c>
      <c r="F5" s="6" t="s">
        <v>7</v>
      </c>
      <c r="G5" s="6" t="s">
        <v>8</v>
      </c>
      <c r="H5" s="27"/>
      <c r="I5" s="16" t="s">
        <v>9</v>
      </c>
      <c r="J5" s="16" t="s">
        <v>10</v>
      </c>
      <c r="K5" s="16" t="s">
        <v>11</v>
      </c>
      <c r="L5" s="29"/>
      <c r="M5" s="16" t="s">
        <v>12</v>
      </c>
      <c r="N5" s="16" t="s">
        <v>13</v>
      </c>
    </row>
    <row r="6" spans="3:14" ht="18.75" x14ac:dyDescent="0.25">
      <c r="C6" s="4" t="s">
        <v>14</v>
      </c>
      <c r="D6" s="6" t="s">
        <v>15</v>
      </c>
      <c r="E6" s="17">
        <v>7</v>
      </c>
      <c r="F6" s="17">
        <v>8</v>
      </c>
      <c r="G6" s="4">
        <v>0</v>
      </c>
      <c r="H6" s="11">
        <f>E6+F6+G6</f>
        <v>15</v>
      </c>
      <c r="I6" s="17">
        <v>0</v>
      </c>
      <c r="J6" s="17">
        <v>18</v>
      </c>
      <c r="K6" s="4">
        <v>0</v>
      </c>
      <c r="L6" s="13">
        <f>I6+J6+K6</f>
        <v>18</v>
      </c>
      <c r="M6" s="18">
        <v>12</v>
      </c>
      <c r="N6" s="18">
        <v>61</v>
      </c>
    </row>
    <row r="7" spans="3:14" ht="18.75" x14ac:dyDescent="0.25">
      <c r="C7" s="4" t="s">
        <v>16</v>
      </c>
      <c r="D7" s="6" t="s">
        <v>88</v>
      </c>
      <c r="E7" s="17">
        <v>18</v>
      </c>
      <c r="F7" s="17">
        <v>6</v>
      </c>
      <c r="G7" s="4">
        <v>0</v>
      </c>
      <c r="H7" s="11">
        <f>E7+F7+G7</f>
        <v>24</v>
      </c>
      <c r="I7" s="17">
        <v>3</v>
      </c>
      <c r="J7" s="17">
        <v>4</v>
      </c>
      <c r="K7" s="4">
        <v>0</v>
      </c>
      <c r="L7" s="13">
        <f>I7+J7+K7</f>
        <v>7</v>
      </c>
      <c r="M7" s="18">
        <v>47</v>
      </c>
      <c r="N7" s="18">
        <v>56</v>
      </c>
    </row>
    <row r="8" spans="3:14" ht="18.75" x14ac:dyDescent="0.25">
      <c r="C8" s="19"/>
      <c r="D8" s="6" t="s">
        <v>19</v>
      </c>
      <c r="E8" s="17">
        <v>0</v>
      </c>
      <c r="F8" s="17">
        <v>1</v>
      </c>
      <c r="G8" s="4">
        <v>0</v>
      </c>
      <c r="H8" s="11">
        <f t="shared" ref="H8:H26" si="0">E8+F8+G8</f>
        <v>1</v>
      </c>
      <c r="I8" s="17">
        <v>3</v>
      </c>
      <c r="J8" s="17">
        <v>14</v>
      </c>
      <c r="K8" s="4">
        <v>0</v>
      </c>
      <c r="L8" s="13">
        <f t="shared" ref="L8:L23" si="1">I8+J8+K8</f>
        <v>17</v>
      </c>
      <c r="M8" s="18">
        <v>16</v>
      </c>
      <c r="N8" s="18">
        <v>16</v>
      </c>
    </row>
    <row r="9" spans="3:14" ht="18.75" x14ac:dyDescent="0.25">
      <c r="C9" s="20" t="s">
        <v>20</v>
      </c>
      <c r="D9" s="21" t="s">
        <v>21</v>
      </c>
      <c r="E9" s="22">
        <v>4</v>
      </c>
      <c r="F9" s="22">
        <v>19</v>
      </c>
      <c r="G9" s="20">
        <v>0</v>
      </c>
      <c r="H9" s="11">
        <f t="shared" si="0"/>
        <v>23</v>
      </c>
      <c r="I9" s="22">
        <v>1</v>
      </c>
      <c r="J9" s="22">
        <v>9</v>
      </c>
      <c r="K9" s="20">
        <v>0</v>
      </c>
      <c r="L9" s="13">
        <f t="shared" si="1"/>
        <v>10</v>
      </c>
      <c r="M9" s="23">
        <v>13</v>
      </c>
      <c r="N9" s="23">
        <v>34</v>
      </c>
    </row>
    <row r="10" spans="3:14" ht="18.75" x14ac:dyDescent="0.25">
      <c r="C10" s="20" t="s">
        <v>22</v>
      </c>
      <c r="D10" s="21" t="s">
        <v>23</v>
      </c>
      <c r="E10" s="17">
        <v>3</v>
      </c>
      <c r="F10" s="17">
        <v>3</v>
      </c>
      <c r="G10" s="4">
        <v>0</v>
      </c>
      <c r="H10" s="11">
        <f t="shared" si="0"/>
        <v>6</v>
      </c>
      <c r="I10" s="17">
        <v>2</v>
      </c>
      <c r="J10" s="17">
        <v>29</v>
      </c>
      <c r="K10" s="4">
        <v>0</v>
      </c>
      <c r="L10" s="13">
        <f t="shared" si="1"/>
        <v>31</v>
      </c>
      <c r="M10" s="18">
        <v>15</v>
      </c>
      <c r="N10" s="18">
        <v>93</v>
      </c>
    </row>
    <row r="11" spans="3:14" ht="18.75" x14ac:dyDescent="0.25">
      <c r="C11" s="4" t="s">
        <v>24</v>
      </c>
      <c r="D11" s="6" t="s">
        <v>89</v>
      </c>
      <c r="E11" s="17">
        <v>1</v>
      </c>
      <c r="F11" s="17">
        <v>3</v>
      </c>
      <c r="G11" s="4">
        <v>0</v>
      </c>
      <c r="H11" s="11">
        <f t="shared" si="0"/>
        <v>4</v>
      </c>
      <c r="I11" s="17">
        <v>1</v>
      </c>
      <c r="J11" s="17">
        <v>10</v>
      </c>
      <c r="K11" s="4">
        <v>0</v>
      </c>
      <c r="L11" s="13">
        <f t="shared" si="1"/>
        <v>11</v>
      </c>
      <c r="M11" s="18">
        <v>10</v>
      </c>
      <c r="N11" s="18">
        <v>21</v>
      </c>
    </row>
    <row r="12" spans="3:14" ht="18.75" x14ac:dyDescent="0.25">
      <c r="C12" s="20" t="s">
        <v>26</v>
      </c>
      <c r="D12" s="21" t="s">
        <v>27</v>
      </c>
      <c r="E12" s="17">
        <v>8</v>
      </c>
      <c r="F12" s="17">
        <v>8</v>
      </c>
      <c r="G12" s="4">
        <v>0</v>
      </c>
      <c r="H12" s="11">
        <f t="shared" si="0"/>
        <v>16</v>
      </c>
      <c r="I12" s="17">
        <v>6</v>
      </c>
      <c r="J12" s="17">
        <v>12</v>
      </c>
      <c r="K12" s="4">
        <v>0</v>
      </c>
      <c r="L12" s="13">
        <f t="shared" si="1"/>
        <v>18</v>
      </c>
      <c r="M12" s="18">
        <v>14</v>
      </c>
      <c r="N12" s="18">
        <v>5</v>
      </c>
    </row>
    <row r="13" spans="3:14" ht="18.75" x14ac:dyDescent="0.25">
      <c r="C13" s="20" t="s">
        <v>28</v>
      </c>
      <c r="D13" s="21" t="s">
        <v>29</v>
      </c>
      <c r="E13" s="22">
        <v>4</v>
      </c>
      <c r="F13" s="22">
        <v>4</v>
      </c>
      <c r="G13" s="20">
        <v>0</v>
      </c>
      <c r="H13" s="11">
        <f t="shared" si="0"/>
        <v>8</v>
      </c>
      <c r="I13" s="22">
        <v>13</v>
      </c>
      <c r="J13" s="24">
        <v>28</v>
      </c>
      <c r="K13" s="20">
        <v>0</v>
      </c>
      <c r="L13" s="13">
        <f t="shared" si="1"/>
        <v>41</v>
      </c>
      <c r="M13" s="23">
        <v>4</v>
      </c>
      <c r="N13" s="23">
        <v>24</v>
      </c>
    </row>
    <row r="14" spans="3:14" ht="18.75" x14ac:dyDescent="0.25">
      <c r="C14" s="20" t="s">
        <v>30</v>
      </c>
      <c r="D14" s="21" t="s">
        <v>31</v>
      </c>
      <c r="E14" s="17">
        <v>16</v>
      </c>
      <c r="F14" s="17">
        <v>29</v>
      </c>
      <c r="G14" s="4">
        <v>0</v>
      </c>
      <c r="H14" s="11">
        <f t="shared" si="0"/>
        <v>45</v>
      </c>
      <c r="I14" s="17">
        <v>0</v>
      </c>
      <c r="J14" s="17">
        <v>11</v>
      </c>
      <c r="K14" s="4">
        <v>0</v>
      </c>
      <c r="L14" s="13">
        <f t="shared" si="1"/>
        <v>11</v>
      </c>
      <c r="M14" s="18">
        <v>12</v>
      </c>
      <c r="N14" s="18">
        <v>46</v>
      </c>
    </row>
    <row r="15" spans="3:14" ht="18.75" x14ac:dyDescent="0.25">
      <c r="C15" s="4" t="s">
        <v>32</v>
      </c>
      <c r="D15" s="6" t="s">
        <v>90</v>
      </c>
      <c r="E15" s="17">
        <v>9</v>
      </c>
      <c r="F15" s="17">
        <v>3</v>
      </c>
      <c r="G15" s="4">
        <v>0</v>
      </c>
      <c r="H15" s="11">
        <f t="shared" si="0"/>
        <v>12</v>
      </c>
      <c r="I15" s="17">
        <v>2</v>
      </c>
      <c r="J15" s="17">
        <v>14</v>
      </c>
      <c r="K15" s="4">
        <v>0</v>
      </c>
      <c r="L15" s="13">
        <f t="shared" si="1"/>
        <v>16</v>
      </c>
      <c r="M15" s="18">
        <v>15</v>
      </c>
      <c r="N15" s="18">
        <v>22</v>
      </c>
    </row>
    <row r="16" spans="3:14" ht="18.75" x14ac:dyDescent="0.25">
      <c r="C16" s="4" t="s">
        <v>34</v>
      </c>
      <c r="D16" s="6" t="s">
        <v>35</v>
      </c>
      <c r="E16" s="17">
        <v>10</v>
      </c>
      <c r="F16" s="17">
        <v>10</v>
      </c>
      <c r="G16" s="4">
        <v>0</v>
      </c>
      <c r="H16" s="11">
        <f t="shared" si="0"/>
        <v>20</v>
      </c>
      <c r="I16" s="17">
        <v>1</v>
      </c>
      <c r="J16" s="17">
        <v>8</v>
      </c>
      <c r="K16" s="4">
        <v>0</v>
      </c>
      <c r="L16" s="13">
        <f t="shared" si="1"/>
        <v>9</v>
      </c>
      <c r="M16" s="18">
        <v>7</v>
      </c>
      <c r="N16" s="18">
        <v>7</v>
      </c>
    </row>
    <row r="17" spans="3:14" ht="18.75" x14ac:dyDescent="0.25">
      <c r="C17" s="4" t="s">
        <v>36</v>
      </c>
      <c r="D17" s="6" t="s">
        <v>37</v>
      </c>
      <c r="E17" s="17">
        <v>14</v>
      </c>
      <c r="F17" s="17">
        <v>13</v>
      </c>
      <c r="G17" s="4">
        <v>0</v>
      </c>
      <c r="H17" s="11">
        <f t="shared" si="0"/>
        <v>27</v>
      </c>
      <c r="I17" s="17">
        <v>7</v>
      </c>
      <c r="J17" s="17">
        <v>16</v>
      </c>
      <c r="K17" s="4">
        <v>0</v>
      </c>
      <c r="L17" s="13">
        <f t="shared" si="1"/>
        <v>23</v>
      </c>
      <c r="M17" s="18">
        <v>17</v>
      </c>
      <c r="N17" s="18">
        <v>44</v>
      </c>
    </row>
    <row r="18" spans="3:14" ht="18.75" x14ac:dyDescent="0.25">
      <c r="C18" s="4" t="s">
        <v>38</v>
      </c>
      <c r="D18" s="6" t="s">
        <v>39</v>
      </c>
      <c r="E18" s="17">
        <v>1</v>
      </c>
      <c r="F18" s="17">
        <v>3</v>
      </c>
      <c r="G18" s="4">
        <v>0</v>
      </c>
      <c r="H18" s="11">
        <f t="shared" si="0"/>
        <v>4</v>
      </c>
      <c r="I18" s="17">
        <v>3</v>
      </c>
      <c r="J18" s="17">
        <v>20</v>
      </c>
      <c r="K18" s="4">
        <v>0</v>
      </c>
      <c r="L18" s="13">
        <f t="shared" si="1"/>
        <v>23</v>
      </c>
      <c r="M18" s="18">
        <v>16</v>
      </c>
      <c r="N18" s="18">
        <v>22</v>
      </c>
    </row>
    <row r="19" spans="3:14" ht="18.75" x14ac:dyDescent="0.25">
      <c r="C19" s="4" t="s">
        <v>40</v>
      </c>
      <c r="D19" s="6" t="s">
        <v>41</v>
      </c>
      <c r="E19" s="17">
        <v>0</v>
      </c>
      <c r="F19" s="17">
        <v>2</v>
      </c>
      <c r="G19" s="4">
        <v>0</v>
      </c>
      <c r="H19" s="11">
        <f t="shared" si="0"/>
        <v>2</v>
      </c>
      <c r="I19" s="17">
        <v>0</v>
      </c>
      <c r="J19" s="17">
        <v>15</v>
      </c>
      <c r="K19" s="4">
        <v>0</v>
      </c>
      <c r="L19" s="13">
        <f t="shared" si="1"/>
        <v>15</v>
      </c>
      <c r="M19" s="18">
        <v>14</v>
      </c>
      <c r="N19" s="18">
        <v>35</v>
      </c>
    </row>
    <row r="20" spans="3:14" ht="18.75" x14ac:dyDescent="0.25">
      <c r="C20" s="20" t="s">
        <v>42</v>
      </c>
      <c r="D20" s="21" t="s">
        <v>43</v>
      </c>
      <c r="E20" s="22">
        <v>4</v>
      </c>
      <c r="F20" s="22">
        <v>3</v>
      </c>
      <c r="G20" s="20">
        <v>0</v>
      </c>
      <c r="H20" s="11">
        <f t="shared" si="0"/>
        <v>7</v>
      </c>
      <c r="I20" s="22">
        <v>15</v>
      </c>
      <c r="J20" s="22">
        <v>11</v>
      </c>
      <c r="K20" s="20">
        <v>0</v>
      </c>
      <c r="L20" s="13">
        <f t="shared" si="1"/>
        <v>26</v>
      </c>
      <c r="M20" s="23">
        <v>42</v>
      </c>
      <c r="N20" s="23">
        <v>42</v>
      </c>
    </row>
    <row r="21" spans="3:14" ht="18.75" x14ac:dyDescent="0.25">
      <c r="C21" s="4" t="s">
        <v>44</v>
      </c>
      <c r="D21" s="6" t="s">
        <v>45</v>
      </c>
      <c r="E21" s="17">
        <v>0</v>
      </c>
      <c r="F21" s="17">
        <v>10</v>
      </c>
      <c r="G21" s="4">
        <v>0</v>
      </c>
      <c r="H21" s="11">
        <f t="shared" si="0"/>
        <v>10</v>
      </c>
      <c r="I21" s="17">
        <v>2</v>
      </c>
      <c r="J21" s="17">
        <v>16</v>
      </c>
      <c r="K21" s="4">
        <v>0</v>
      </c>
      <c r="L21" s="13">
        <f t="shared" si="1"/>
        <v>18</v>
      </c>
      <c r="M21" s="18">
        <v>6</v>
      </c>
      <c r="N21" s="18">
        <v>6</v>
      </c>
    </row>
    <row r="22" spans="3:14" ht="18.75" x14ac:dyDescent="0.25">
      <c r="C22" s="4" t="s">
        <v>46</v>
      </c>
      <c r="D22" s="6" t="s">
        <v>47</v>
      </c>
      <c r="E22" s="17">
        <v>2</v>
      </c>
      <c r="F22" s="17">
        <v>7</v>
      </c>
      <c r="G22" s="4">
        <v>0</v>
      </c>
      <c r="H22" s="11">
        <f t="shared" si="0"/>
        <v>9</v>
      </c>
      <c r="I22" s="17">
        <v>0</v>
      </c>
      <c r="J22" s="17">
        <v>24</v>
      </c>
      <c r="K22" s="4">
        <v>0</v>
      </c>
      <c r="L22" s="13">
        <f t="shared" si="1"/>
        <v>24</v>
      </c>
      <c r="M22" s="18">
        <v>4</v>
      </c>
      <c r="N22" s="18">
        <v>4</v>
      </c>
    </row>
    <row r="23" spans="3:14" ht="18.75" x14ac:dyDescent="0.25">
      <c r="C23" s="4" t="s">
        <v>48</v>
      </c>
      <c r="D23" s="6" t="s">
        <v>49</v>
      </c>
      <c r="E23" s="18">
        <v>3</v>
      </c>
      <c r="F23" s="18">
        <v>10</v>
      </c>
      <c r="G23" s="4">
        <v>0</v>
      </c>
      <c r="H23" s="11">
        <f t="shared" si="0"/>
        <v>13</v>
      </c>
      <c r="I23" s="18">
        <v>6</v>
      </c>
      <c r="J23" s="18">
        <v>4</v>
      </c>
      <c r="K23" s="4">
        <v>0</v>
      </c>
      <c r="L23" s="13">
        <f t="shared" si="1"/>
        <v>10</v>
      </c>
      <c r="M23" s="18">
        <v>47</v>
      </c>
      <c r="N23" s="18">
        <v>47</v>
      </c>
    </row>
    <row r="24" spans="3:14" ht="18.75" x14ac:dyDescent="0.25">
      <c r="C24" s="4" t="s">
        <v>50</v>
      </c>
      <c r="D24" s="6" t="s">
        <v>51</v>
      </c>
      <c r="E24" s="17">
        <v>1</v>
      </c>
      <c r="F24" s="17">
        <v>7</v>
      </c>
      <c r="G24" s="4">
        <v>0</v>
      </c>
      <c r="H24" s="11">
        <f t="shared" si="0"/>
        <v>8</v>
      </c>
      <c r="I24" s="17">
        <v>1</v>
      </c>
      <c r="J24" s="17">
        <v>17</v>
      </c>
      <c r="K24" s="4">
        <v>0</v>
      </c>
      <c r="L24" s="13">
        <f>I24+J24+K24</f>
        <v>18</v>
      </c>
      <c r="M24" s="18">
        <v>37</v>
      </c>
      <c r="N24" s="18">
        <v>37</v>
      </c>
    </row>
    <row r="25" spans="3:14" ht="18.75" x14ac:dyDescent="0.25">
      <c r="C25" s="4" t="s">
        <v>52</v>
      </c>
      <c r="D25" s="6" t="s">
        <v>53</v>
      </c>
      <c r="E25" s="17">
        <v>8</v>
      </c>
      <c r="F25" s="25">
        <v>4</v>
      </c>
      <c r="G25" s="4">
        <v>0</v>
      </c>
      <c r="H25" s="11">
        <f t="shared" si="0"/>
        <v>12</v>
      </c>
      <c r="I25" s="17">
        <v>7</v>
      </c>
      <c r="J25" s="25">
        <v>27</v>
      </c>
      <c r="K25" s="4">
        <v>0</v>
      </c>
      <c r="L25" s="13">
        <f>I25+J25+K25</f>
        <v>34</v>
      </c>
      <c r="M25" s="18">
        <v>37</v>
      </c>
      <c r="N25" s="18">
        <v>37</v>
      </c>
    </row>
    <row r="26" spans="3:14" ht="18.75" x14ac:dyDescent="0.25">
      <c r="C26" s="4" t="s">
        <v>54</v>
      </c>
      <c r="D26" s="6" t="s">
        <v>55</v>
      </c>
      <c r="E26" s="17">
        <v>10</v>
      </c>
      <c r="F26" s="17">
        <v>4</v>
      </c>
      <c r="G26" s="4">
        <v>0</v>
      </c>
      <c r="H26" s="11">
        <f t="shared" si="0"/>
        <v>14</v>
      </c>
      <c r="I26" s="17">
        <v>4</v>
      </c>
      <c r="J26" s="17">
        <v>15</v>
      </c>
      <c r="K26" s="4">
        <v>0</v>
      </c>
      <c r="L26" s="13">
        <f t="shared" ref="L26:L41" si="2">I26+J26+K26</f>
        <v>19</v>
      </c>
      <c r="M26" s="18">
        <v>23</v>
      </c>
      <c r="N26" s="18">
        <v>23</v>
      </c>
    </row>
    <row r="27" spans="3:14" ht="18.75" x14ac:dyDescent="0.25">
      <c r="C27" s="20" t="s">
        <v>56</v>
      </c>
      <c r="D27" s="21" t="s">
        <v>57</v>
      </c>
      <c r="E27" s="22">
        <v>2</v>
      </c>
      <c r="F27" s="22">
        <v>7</v>
      </c>
      <c r="G27" s="20">
        <v>0</v>
      </c>
      <c r="H27" s="11">
        <f>E27+F27+G27</f>
        <v>9</v>
      </c>
      <c r="I27" s="22">
        <v>2</v>
      </c>
      <c r="J27" s="22">
        <v>19</v>
      </c>
      <c r="K27" s="20">
        <v>0</v>
      </c>
      <c r="L27" s="13">
        <f t="shared" si="2"/>
        <v>21</v>
      </c>
      <c r="M27" s="23">
        <v>23</v>
      </c>
      <c r="N27" s="23">
        <v>23</v>
      </c>
    </row>
    <row r="28" spans="3:14" ht="18.75" x14ac:dyDescent="0.25">
      <c r="C28" s="20" t="s">
        <v>58</v>
      </c>
      <c r="D28" s="21" t="s">
        <v>59</v>
      </c>
      <c r="E28" s="22">
        <v>0</v>
      </c>
      <c r="F28" s="22">
        <v>6</v>
      </c>
      <c r="G28" s="20">
        <v>0</v>
      </c>
      <c r="H28" s="11">
        <f>E28+F28+G28</f>
        <v>6</v>
      </c>
      <c r="I28" s="22">
        <v>0</v>
      </c>
      <c r="J28" s="22">
        <v>6</v>
      </c>
      <c r="K28" s="20">
        <v>0</v>
      </c>
      <c r="L28" s="13">
        <f t="shared" si="2"/>
        <v>6</v>
      </c>
      <c r="M28" s="23">
        <v>61</v>
      </c>
      <c r="N28" s="23">
        <v>61</v>
      </c>
    </row>
    <row r="29" spans="3:14" ht="18.75" x14ac:dyDescent="0.25">
      <c r="C29" s="20" t="s">
        <v>60</v>
      </c>
      <c r="D29" s="21" t="s">
        <v>61</v>
      </c>
      <c r="E29" s="18">
        <v>2</v>
      </c>
      <c r="F29" s="18">
        <v>14</v>
      </c>
      <c r="G29" s="4">
        <v>0</v>
      </c>
      <c r="H29" s="11">
        <f t="shared" ref="H29:H41" si="3">E29+F29+G29</f>
        <v>16</v>
      </c>
      <c r="I29" s="18">
        <v>4</v>
      </c>
      <c r="J29" s="18">
        <v>13</v>
      </c>
      <c r="K29" s="4">
        <v>0</v>
      </c>
      <c r="L29" s="13">
        <f t="shared" si="2"/>
        <v>17</v>
      </c>
      <c r="M29" s="18">
        <v>28</v>
      </c>
      <c r="N29" s="18">
        <v>28</v>
      </c>
    </row>
    <row r="30" spans="3:14" ht="18.75" x14ac:dyDescent="0.25">
      <c r="C30" s="20" t="s">
        <v>62</v>
      </c>
      <c r="D30" s="21" t="s">
        <v>63</v>
      </c>
      <c r="E30" s="22">
        <v>0</v>
      </c>
      <c r="F30" s="22">
        <v>7</v>
      </c>
      <c r="G30" s="20">
        <v>0</v>
      </c>
      <c r="H30" s="11">
        <f t="shared" si="3"/>
        <v>7</v>
      </c>
      <c r="I30" s="22">
        <v>2</v>
      </c>
      <c r="J30" s="22">
        <v>21</v>
      </c>
      <c r="K30" s="20">
        <v>0</v>
      </c>
      <c r="L30" s="13">
        <f t="shared" si="2"/>
        <v>23</v>
      </c>
      <c r="M30" s="23">
        <v>31</v>
      </c>
      <c r="N30" s="23">
        <v>31</v>
      </c>
    </row>
    <row r="31" spans="3:14" ht="18.75" x14ac:dyDescent="0.25">
      <c r="C31" s="4" t="s">
        <v>64</v>
      </c>
      <c r="D31" s="6" t="s">
        <v>65</v>
      </c>
      <c r="E31" s="17">
        <v>1</v>
      </c>
      <c r="F31" s="17">
        <v>14</v>
      </c>
      <c r="G31" s="4">
        <v>0</v>
      </c>
      <c r="H31" s="11">
        <f t="shared" si="3"/>
        <v>15</v>
      </c>
      <c r="I31" s="17">
        <v>1</v>
      </c>
      <c r="J31" s="17">
        <v>24</v>
      </c>
      <c r="K31" s="4">
        <v>0</v>
      </c>
      <c r="L31" s="13">
        <f t="shared" si="2"/>
        <v>25</v>
      </c>
      <c r="M31" s="18">
        <v>12</v>
      </c>
      <c r="N31" s="18">
        <v>12</v>
      </c>
    </row>
    <row r="32" spans="3:14" ht="18.75" x14ac:dyDescent="0.25">
      <c r="C32" s="4" t="s">
        <v>66</v>
      </c>
      <c r="D32" s="6" t="s">
        <v>67</v>
      </c>
      <c r="E32" s="17">
        <v>3</v>
      </c>
      <c r="F32" s="17">
        <v>6</v>
      </c>
      <c r="G32" s="4">
        <v>0</v>
      </c>
      <c r="H32" s="11">
        <f t="shared" si="3"/>
        <v>9</v>
      </c>
      <c r="I32" s="17">
        <v>1</v>
      </c>
      <c r="J32" s="17">
        <v>20</v>
      </c>
      <c r="K32" s="4">
        <v>0</v>
      </c>
      <c r="L32" s="13">
        <f t="shared" si="2"/>
        <v>21</v>
      </c>
      <c r="M32" s="18">
        <v>5</v>
      </c>
      <c r="N32" s="18">
        <v>5</v>
      </c>
    </row>
    <row r="33" spans="3:14" ht="18.75" x14ac:dyDescent="0.25">
      <c r="C33" s="4" t="s">
        <v>68</v>
      </c>
      <c r="D33" s="6" t="s">
        <v>69</v>
      </c>
      <c r="E33" s="17">
        <v>2</v>
      </c>
      <c r="F33" s="17">
        <v>10</v>
      </c>
      <c r="G33" s="4">
        <v>0</v>
      </c>
      <c r="H33" s="11">
        <f t="shared" si="3"/>
        <v>12</v>
      </c>
      <c r="I33" s="17">
        <v>2</v>
      </c>
      <c r="J33" s="17">
        <v>5</v>
      </c>
      <c r="K33" s="4">
        <v>0</v>
      </c>
      <c r="L33" s="13">
        <f t="shared" si="2"/>
        <v>7</v>
      </c>
      <c r="M33" s="18">
        <v>59</v>
      </c>
      <c r="N33" s="18">
        <v>59</v>
      </c>
    </row>
    <row r="34" spans="3:14" ht="18.75" x14ac:dyDescent="0.25">
      <c r="C34" s="20" t="s">
        <v>70</v>
      </c>
      <c r="D34" s="21" t="s">
        <v>71</v>
      </c>
      <c r="E34" s="22">
        <v>0</v>
      </c>
      <c r="F34" s="22">
        <v>8</v>
      </c>
      <c r="G34" s="20">
        <v>0</v>
      </c>
      <c r="H34" s="11">
        <f t="shared" si="3"/>
        <v>8</v>
      </c>
      <c r="I34" s="22">
        <v>5</v>
      </c>
      <c r="J34" s="22">
        <v>16</v>
      </c>
      <c r="K34" s="20">
        <v>0</v>
      </c>
      <c r="L34" s="13">
        <f t="shared" si="2"/>
        <v>21</v>
      </c>
      <c r="M34" s="23">
        <v>10</v>
      </c>
      <c r="N34" s="23">
        <v>10</v>
      </c>
    </row>
    <row r="35" spans="3:14" ht="18.75" x14ac:dyDescent="0.25">
      <c r="C35" s="4" t="s">
        <v>72</v>
      </c>
      <c r="D35" s="6" t="s">
        <v>91</v>
      </c>
      <c r="E35" s="17">
        <v>5</v>
      </c>
      <c r="F35" s="17">
        <v>19</v>
      </c>
      <c r="G35" s="4">
        <v>0</v>
      </c>
      <c r="H35" s="11">
        <f t="shared" si="3"/>
        <v>24</v>
      </c>
      <c r="I35" s="17">
        <v>0</v>
      </c>
      <c r="J35" s="17">
        <v>2</v>
      </c>
      <c r="K35" s="4">
        <v>0</v>
      </c>
      <c r="L35" s="13">
        <f t="shared" si="2"/>
        <v>2</v>
      </c>
      <c r="M35" s="18">
        <v>41</v>
      </c>
      <c r="N35" s="18">
        <v>41</v>
      </c>
    </row>
    <row r="36" spans="3:14" ht="18.75" x14ac:dyDescent="0.25">
      <c r="C36" s="20" t="s">
        <v>74</v>
      </c>
      <c r="D36" s="21" t="s">
        <v>75</v>
      </c>
      <c r="E36" s="22">
        <v>4</v>
      </c>
      <c r="F36" s="22">
        <v>4</v>
      </c>
      <c r="G36" s="20">
        <v>0</v>
      </c>
      <c r="H36" s="11">
        <f t="shared" si="3"/>
        <v>8</v>
      </c>
      <c r="I36" s="22">
        <v>3</v>
      </c>
      <c r="J36" s="22">
        <v>43</v>
      </c>
      <c r="K36" s="20">
        <v>0</v>
      </c>
      <c r="L36" s="13">
        <f t="shared" si="2"/>
        <v>46</v>
      </c>
      <c r="M36" s="23">
        <v>22</v>
      </c>
      <c r="N36" s="23">
        <v>22</v>
      </c>
    </row>
    <row r="37" spans="3:14" ht="18.75" x14ac:dyDescent="0.25">
      <c r="C37" s="4" t="s">
        <v>76</v>
      </c>
      <c r="D37" s="6" t="s">
        <v>77</v>
      </c>
      <c r="E37" s="18">
        <v>0</v>
      </c>
      <c r="F37" s="18">
        <v>3</v>
      </c>
      <c r="G37" s="4">
        <v>0</v>
      </c>
      <c r="H37" s="11">
        <f t="shared" si="3"/>
        <v>3</v>
      </c>
      <c r="I37" s="18">
        <v>1</v>
      </c>
      <c r="J37" s="18">
        <v>8</v>
      </c>
      <c r="K37" s="4">
        <v>0</v>
      </c>
      <c r="L37" s="13">
        <f t="shared" si="2"/>
        <v>9</v>
      </c>
      <c r="M37" s="18">
        <v>30</v>
      </c>
      <c r="N37" s="18">
        <v>30</v>
      </c>
    </row>
    <row r="38" spans="3:14" ht="18.75" x14ac:dyDescent="0.25">
      <c r="C38" s="4" t="s">
        <v>78</v>
      </c>
      <c r="D38" s="6" t="s">
        <v>79</v>
      </c>
      <c r="E38" s="18">
        <v>2</v>
      </c>
      <c r="F38" s="18">
        <v>3</v>
      </c>
      <c r="G38" s="4">
        <v>0</v>
      </c>
      <c r="H38" s="11">
        <f t="shared" si="3"/>
        <v>5</v>
      </c>
      <c r="I38" s="18">
        <v>0</v>
      </c>
      <c r="J38" s="18">
        <v>2</v>
      </c>
      <c r="K38" s="4">
        <v>0</v>
      </c>
      <c r="L38" s="13">
        <f t="shared" si="2"/>
        <v>2</v>
      </c>
      <c r="M38" s="18">
        <v>4</v>
      </c>
      <c r="N38" s="18">
        <v>4</v>
      </c>
    </row>
    <row r="39" spans="3:14" ht="18.75" x14ac:dyDescent="0.25">
      <c r="C39" s="4" t="s">
        <v>80</v>
      </c>
      <c r="D39" s="6" t="s">
        <v>81</v>
      </c>
      <c r="E39" s="18">
        <v>4</v>
      </c>
      <c r="F39" s="18">
        <v>10</v>
      </c>
      <c r="G39" s="4">
        <v>0</v>
      </c>
      <c r="H39" s="11">
        <f t="shared" si="3"/>
        <v>14</v>
      </c>
      <c r="I39" s="18">
        <v>8</v>
      </c>
      <c r="J39" s="18">
        <v>11</v>
      </c>
      <c r="K39" s="4">
        <v>0</v>
      </c>
      <c r="L39" s="13">
        <f t="shared" si="2"/>
        <v>19</v>
      </c>
      <c r="M39" s="18">
        <v>70</v>
      </c>
      <c r="N39" s="18">
        <v>70</v>
      </c>
    </row>
    <row r="40" spans="3:14" ht="18.75" x14ac:dyDescent="0.25">
      <c r="C40" s="4" t="s">
        <v>82</v>
      </c>
      <c r="D40" s="6" t="s">
        <v>83</v>
      </c>
      <c r="E40" s="18">
        <v>0</v>
      </c>
      <c r="F40" s="18">
        <v>11</v>
      </c>
      <c r="G40" s="4">
        <v>0</v>
      </c>
      <c r="H40" s="11">
        <f t="shared" si="3"/>
        <v>11</v>
      </c>
      <c r="I40" s="18">
        <v>0</v>
      </c>
      <c r="J40" s="18">
        <v>19</v>
      </c>
      <c r="K40" s="4">
        <v>0</v>
      </c>
      <c r="L40" s="13">
        <f t="shared" si="2"/>
        <v>19</v>
      </c>
      <c r="M40" s="18">
        <v>0</v>
      </c>
      <c r="N40" s="18">
        <v>0</v>
      </c>
    </row>
    <row r="41" spans="3:14" ht="18.75" x14ac:dyDescent="0.25">
      <c r="C41" s="39" t="s">
        <v>84</v>
      </c>
      <c r="D41" s="39"/>
      <c r="E41" s="4">
        <v>148</v>
      </c>
      <c r="F41" s="4">
        <v>279</v>
      </c>
      <c r="G41" s="4">
        <v>0</v>
      </c>
      <c r="H41" s="7">
        <f t="shared" si="3"/>
        <v>427</v>
      </c>
      <c r="I41" s="4">
        <v>106</v>
      </c>
      <c r="J41" s="4">
        <v>531</v>
      </c>
      <c r="K41" s="4">
        <v>0</v>
      </c>
      <c r="L41" s="7">
        <f t="shared" si="2"/>
        <v>637</v>
      </c>
      <c r="M41" s="4">
        <v>529</v>
      </c>
      <c r="N41" s="18">
        <v>1078</v>
      </c>
    </row>
  </sheetData>
  <mergeCells count="5">
    <mergeCell ref="C41:D41"/>
    <mergeCell ref="C4:C5"/>
    <mergeCell ref="E4:G4"/>
    <mergeCell ref="I4:K4"/>
    <mergeCell ref="M4:N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52B8-4495-4B22-A0B7-7B2F77902722}">
  <dimension ref="C4:N41"/>
  <sheetViews>
    <sheetView workbookViewId="0">
      <selection activeCell="C8" sqref="C8"/>
    </sheetView>
  </sheetViews>
  <sheetFormatPr defaultRowHeight="15" x14ac:dyDescent="0.25"/>
  <cols>
    <col min="4" max="4" width="15.28515625" customWidth="1"/>
  </cols>
  <sheetData>
    <row r="4" spans="3:14" ht="28.15" customHeight="1" x14ac:dyDescent="0.25">
      <c r="C4" s="32" t="s">
        <v>0</v>
      </c>
      <c r="D4" s="2" t="s">
        <v>1</v>
      </c>
      <c r="E4" s="33" t="s">
        <v>3</v>
      </c>
      <c r="F4" s="33"/>
      <c r="G4" s="33"/>
      <c r="H4" s="9" t="s">
        <v>85</v>
      </c>
      <c r="I4" s="34" t="s">
        <v>4</v>
      </c>
      <c r="J4" s="34"/>
      <c r="K4" s="34"/>
      <c r="L4" s="14" t="s">
        <v>85</v>
      </c>
      <c r="M4" s="35" t="s">
        <v>5</v>
      </c>
      <c r="N4" s="35"/>
    </row>
    <row r="5" spans="3:14" ht="94.5" x14ac:dyDescent="0.25">
      <c r="C5" s="32"/>
      <c r="D5" s="2" t="s">
        <v>2</v>
      </c>
      <c r="E5" s="2" t="s">
        <v>6</v>
      </c>
      <c r="F5" s="2" t="s">
        <v>7</v>
      </c>
      <c r="G5" s="2" t="s">
        <v>8</v>
      </c>
      <c r="H5" s="9"/>
      <c r="I5" s="15" t="s">
        <v>9</v>
      </c>
      <c r="J5" s="15" t="s">
        <v>10</v>
      </c>
      <c r="K5" s="15" t="s">
        <v>11</v>
      </c>
      <c r="L5" s="31"/>
      <c r="M5" s="15" t="s">
        <v>12</v>
      </c>
      <c r="N5" s="15" t="s">
        <v>13</v>
      </c>
    </row>
    <row r="6" spans="3:14" ht="18.75" x14ac:dyDescent="0.25">
      <c r="C6" s="4" t="s">
        <v>14</v>
      </c>
      <c r="D6" s="6" t="s">
        <v>15</v>
      </c>
      <c r="E6" s="18">
        <v>11</v>
      </c>
      <c r="F6" s="18">
        <v>12</v>
      </c>
      <c r="G6" s="4">
        <v>0</v>
      </c>
      <c r="H6" s="11">
        <f>E6+F6+G6</f>
        <v>23</v>
      </c>
      <c r="I6" s="18">
        <v>0</v>
      </c>
      <c r="J6" s="18">
        <v>18</v>
      </c>
      <c r="K6" s="4">
        <v>0</v>
      </c>
      <c r="L6" s="13">
        <f>I6+J6+K6</f>
        <v>18</v>
      </c>
      <c r="M6" s="18">
        <v>7</v>
      </c>
      <c r="N6" s="18">
        <v>56</v>
      </c>
    </row>
    <row r="7" spans="3:14" ht="18.75" x14ac:dyDescent="0.25">
      <c r="C7" s="4" t="s">
        <v>16</v>
      </c>
      <c r="D7" s="6" t="s">
        <v>88</v>
      </c>
      <c r="E7" s="18">
        <v>6</v>
      </c>
      <c r="F7" s="18">
        <v>12</v>
      </c>
      <c r="G7" s="4">
        <v>0</v>
      </c>
      <c r="H7" s="11">
        <f>E7+F7+G7</f>
        <v>18</v>
      </c>
      <c r="I7" s="18">
        <v>1</v>
      </c>
      <c r="J7" s="18">
        <v>46</v>
      </c>
      <c r="K7" s="4">
        <v>0</v>
      </c>
      <c r="L7" s="13">
        <f>I7+J7+K7</f>
        <v>47</v>
      </c>
      <c r="M7" s="18">
        <v>29</v>
      </c>
      <c r="N7" s="18">
        <v>67</v>
      </c>
    </row>
    <row r="8" spans="3:14" ht="18.75" x14ac:dyDescent="0.25">
      <c r="C8" s="19">
        <v>3</v>
      </c>
      <c r="D8" s="6" t="s">
        <v>19</v>
      </c>
      <c r="E8" s="18">
        <v>0</v>
      </c>
      <c r="F8" s="18">
        <v>5</v>
      </c>
      <c r="G8" s="4">
        <v>0</v>
      </c>
      <c r="H8" s="11">
        <f t="shared" ref="H8:H41" si="0">E8+F8+G8</f>
        <v>5</v>
      </c>
      <c r="I8" s="18">
        <v>1</v>
      </c>
      <c r="J8" s="18">
        <v>13</v>
      </c>
      <c r="K8" s="4">
        <v>0</v>
      </c>
      <c r="L8" s="13">
        <f t="shared" ref="L8:L26" si="1">I8+J8+K8</f>
        <v>14</v>
      </c>
      <c r="M8" s="18">
        <v>22</v>
      </c>
      <c r="N8" s="18">
        <v>24</v>
      </c>
    </row>
    <row r="9" spans="3:14" ht="18.75" x14ac:dyDescent="0.25">
      <c r="C9" s="20" t="s">
        <v>20</v>
      </c>
      <c r="D9" s="21" t="s">
        <v>21</v>
      </c>
      <c r="E9" s="23">
        <v>2</v>
      </c>
      <c r="F9" s="23">
        <v>11</v>
      </c>
      <c r="G9" s="20">
        <v>0</v>
      </c>
      <c r="H9" s="11">
        <f t="shared" si="0"/>
        <v>13</v>
      </c>
      <c r="I9" s="23">
        <v>0</v>
      </c>
      <c r="J9" s="23">
        <v>26</v>
      </c>
      <c r="K9" s="20">
        <v>0</v>
      </c>
      <c r="L9" s="13">
        <f t="shared" si="1"/>
        <v>26</v>
      </c>
      <c r="M9" s="23">
        <v>7</v>
      </c>
      <c r="N9" s="23">
        <v>25</v>
      </c>
    </row>
    <row r="10" spans="3:14" ht="18.75" x14ac:dyDescent="0.25">
      <c r="C10" s="20" t="s">
        <v>22</v>
      </c>
      <c r="D10" s="21" t="s">
        <v>23</v>
      </c>
      <c r="E10" s="18">
        <v>0</v>
      </c>
      <c r="F10" s="18">
        <v>2</v>
      </c>
      <c r="G10" s="4">
        <v>0</v>
      </c>
      <c r="H10" s="11">
        <f t="shared" si="0"/>
        <v>2</v>
      </c>
      <c r="I10" s="18">
        <v>4</v>
      </c>
      <c r="J10" s="18">
        <v>36</v>
      </c>
      <c r="K10" s="4">
        <v>0</v>
      </c>
      <c r="L10" s="13">
        <f t="shared" si="1"/>
        <v>40</v>
      </c>
      <c r="M10" s="18">
        <v>58</v>
      </c>
      <c r="N10" s="18">
        <v>65</v>
      </c>
    </row>
    <row r="11" spans="3:14" ht="18.75" x14ac:dyDescent="0.25">
      <c r="C11" s="4" t="s">
        <v>24</v>
      </c>
      <c r="D11" s="6" t="s">
        <v>89</v>
      </c>
      <c r="E11" s="18">
        <v>2</v>
      </c>
      <c r="F11" s="18">
        <v>7</v>
      </c>
      <c r="G11" s="4">
        <v>0</v>
      </c>
      <c r="H11" s="11">
        <f t="shared" si="0"/>
        <v>9</v>
      </c>
      <c r="I11" s="18">
        <v>3</v>
      </c>
      <c r="J11" s="18">
        <v>41</v>
      </c>
      <c r="K11" s="4">
        <v>0</v>
      </c>
      <c r="L11" s="13">
        <f t="shared" si="1"/>
        <v>44</v>
      </c>
      <c r="M11" s="18">
        <v>7</v>
      </c>
      <c r="N11" s="18">
        <v>25</v>
      </c>
    </row>
    <row r="12" spans="3:14" ht="18.75" x14ac:dyDescent="0.25">
      <c r="C12" s="20" t="s">
        <v>26</v>
      </c>
      <c r="D12" s="21" t="s">
        <v>27</v>
      </c>
      <c r="E12" s="18">
        <v>5</v>
      </c>
      <c r="F12" s="18">
        <v>11</v>
      </c>
      <c r="G12" s="4">
        <v>0</v>
      </c>
      <c r="H12" s="11">
        <f t="shared" si="0"/>
        <v>16</v>
      </c>
      <c r="I12" s="18">
        <v>6</v>
      </c>
      <c r="J12" s="18">
        <v>18</v>
      </c>
      <c r="K12" s="4">
        <v>0</v>
      </c>
      <c r="L12" s="13">
        <f t="shared" si="1"/>
        <v>24</v>
      </c>
      <c r="M12" s="18">
        <v>8</v>
      </c>
      <c r="N12" s="18">
        <v>13</v>
      </c>
    </row>
    <row r="13" spans="3:14" ht="18.75" x14ac:dyDescent="0.25">
      <c r="C13" s="20" t="s">
        <v>28</v>
      </c>
      <c r="D13" s="21" t="s">
        <v>29</v>
      </c>
      <c r="E13" s="23">
        <v>5</v>
      </c>
      <c r="F13" s="23">
        <v>1</v>
      </c>
      <c r="G13" s="20">
        <v>0</v>
      </c>
      <c r="H13" s="11">
        <f t="shared" si="0"/>
        <v>6</v>
      </c>
      <c r="I13" s="23">
        <v>9</v>
      </c>
      <c r="J13" s="23">
        <v>16</v>
      </c>
      <c r="K13" s="20">
        <v>0</v>
      </c>
      <c r="L13" s="13">
        <f t="shared" si="1"/>
        <v>25</v>
      </c>
      <c r="M13" s="23">
        <v>7</v>
      </c>
      <c r="N13" s="23">
        <v>24</v>
      </c>
    </row>
    <row r="14" spans="3:14" ht="18.75" x14ac:dyDescent="0.25">
      <c r="C14" s="20" t="s">
        <v>30</v>
      </c>
      <c r="D14" s="21" t="s">
        <v>31</v>
      </c>
      <c r="E14" s="18">
        <v>20</v>
      </c>
      <c r="F14" s="18">
        <v>49</v>
      </c>
      <c r="G14" s="4">
        <v>0</v>
      </c>
      <c r="H14" s="11">
        <f t="shared" si="0"/>
        <v>69</v>
      </c>
      <c r="I14" s="18">
        <v>0</v>
      </c>
      <c r="J14" s="18">
        <v>6</v>
      </c>
      <c r="K14" s="4">
        <v>0</v>
      </c>
      <c r="L14" s="13">
        <f t="shared" si="1"/>
        <v>6</v>
      </c>
      <c r="M14" s="18">
        <v>18</v>
      </c>
      <c r="N14" s="18">
        <v>91</v>
      </c>
    </row>
    <row r="15" spans="3:14" ht="18.75" x14ac:dyDescent="0.25">
      <c r="C15" s="4" t="s">
        <v>32</v>
      </c>
      <c r="D15" s="6" t="s">
        <v>90</v>
      </c>
      <c r="E15" s="18">
        <v>2</v>
      </c>
      <c r="F15" s="18">
        <v>3</v>
      </c>
      <c r="G15" s="4">
        <v>0</v>
      </c>
      <c r="H15" s="11">
        <f t="shared" si="0"/>
        <v>5</v>
      </c>
      <c r="I15" s="18">
        <v>1</v>
      </c>
      <c r="J15" s="18">
        <v>34</v>
      </c>
      <c r="K15" s="4">
        <v>0</v>
      </c>
      <c r="L15" s="13">
        <f t="shared" si="1"/>
        <v>35</v>
      </c>
      <c r="M15" s="18">
        <v>6</v>
      </c>
      <c r="N15" s="18">
        <v>24</v>
      </c>
    </row>
    <row r="16" spans="3:14" ht="18.75" x14ac:dyDescent="0.25">
      <c r="C16" s="4" t="s">
        <v>34</v>
      </c>
      <c r="D16" s="6" t="s">
        <v>35</v>
      </c>
      <c r="E16" s="18">
        <v>16</v>
      </c>
      <c r="F16" s="18">
        <v>15</v>
      </c>
      <c r="G16" s="4">
        <v>0</v>
      </c>
      <c r="H16" s="11">
        <f t="shared" si="0"/>
        <v>31</v>
      </c>
      <c r="I16" s="18">
        <v>2</v>
      </c>
      <c r="J16" s="18">
        <v>4</v>
      </c>
      <c r="K16" s="4">
        <v>0</v>
      </c>
      <c r="L16" s="13">
        <f t="shared" si="1"/>
        <v>6</v>
      </c>
      <c r="M16" s="18">
        <v>10</v>
      </c>
      <c r="N16" s="18">
        <v>12</v>
      </c>
    </row>
    <row r="17" spans="3:14" ht="18.75" x14ac:dyDescent="0.25">
      <c r="C17" s="4" t="s">
        <v>36</v>
      </c>
      <c r="D17" s="6" t="s">
        <v>37</v>
      </c>
      <c r="E17" s="30">
        <v>3</v>
      </c>
      <c r="F17" s="30">
        <v>5</v>
      </c>
      <c r="G17" s="4">
        <v>0</v>
      </c>
      <c r="H17" s="11">
        <f t="shared" si="0"/>
        <v>8</v>
      </c>
      <c r="I17" s="30">
        <v>7</v>
      </c>
      <c r="J17" s="30">
        <v>43</v>
      </c>
      <c r="K17" s="4">
        <v>0</v>
      </c>
      <c r="L17" s="13">
        <f t="shared" si="1"/>
        <v>50</v>
      </c>
      <c r="M17" s="18">
        <v>26</v>
      </c>
      <c r="N17" s="18">
        <v>50</v>
      </c>
    </row>
    <row r="18" spans="3:14" ht="18.75" x14ac:dyDescent="0.25">
      <c r="C18" s="6" t="s">
        <v>38</v>
      </c>
      <c r="D18" s="6" t="s">
        <v>39</v>
      </c>
      <c r="E18" s="18">
        <v>0</v>
      </c>
      <c r="F18" s="18">
        <v>8</v>
      </c>
      <c r="G18" s="4">
        <v>0</v>
      </c>
      <c r="H18" s="11">
        <f t="shared" si="0"/>
        <v>8</v>
      </c>
      <c r="I18" s="18">
        <v>1</v>
      </c>
      <c r="J18" s="18">
        <v>15</v>
      </c>
      <c r="K18" s="4">
        <v>0</v>
      </c>
      <c r="L18" s="13">
        <f t="shared" si="1"/>
        <v>16</v>
      </c>
      <c r="M18" s="18">
        <v>11</v>
      </c>
      <c r="N18" s="18">
        <v>33</v>
      </c>
    </row>
    <row r="19" spans="3:14" ht="18.75" x14ac:dyDescent="0.25">
      <c r="C19" s="6" t="s">
        <v>40</v>
      </c>
      <c r="D19" s="6" t="s">
        <v>41</v>
      </c>
      <c r="E19" s="18">
        <v>1</v>
      </c>
      <c r="F19" s="18">
        <v>5</v>
      </c>
      <c r="G19" s="4">
        <v>0</v>
      </c>
      <c r="H19" s="11">
        <f t="shared" si="0"/>
        <v>6</v>
      </c>
      <c r="I19" s="18">
        <v>1</v>
      </c>
      <c r="J19" s="18">
        <v>17</v>
      </c>
      <c r="K19" s="4">
        <v>0</v>
      </c>
      <c r="L19" s="13">
        <f t="shared" si="1"/>
        <v>18</v>
      </c>
      <c r="M19" s="18">
        <v>16</v>
      </c>
      <c r="N19" s="18">
        <v>29</v>
      </c>
    </row>
    <row r="20" spans="3:14" ht="18.75" x14ac:dyDescent="0.25">
      <c r="C20" s="21" t="s">
        <v>42</v>
      </c>
      <c r="D20" s="21" t="s">
        <v>43</v>
      </c>
      <c r="E20" s="23">
        <v>3</v>
      </c>
      <c r="F20" s="22">
        <v>5</v>
      </c>
      <c r="G20" s="20">
        <v>0</v>
      </c>
      <c r="H20" s="11">
        <f t="shared" si="0"/>
        <v>8</v>
      </c>
      <c r="I20" s="23">
        <v>5</v>
      </c>
      <c r="J20" s="22">
        <v>19</v>
      </c>
      <c r="K20" s="20">
        <v>0</v>
      </c>
      <c r="L20" s="13">
        <f t="shared" si="1"/>
        <v>24</v>
      </c>
      <c r="M20" s="23">
        <v>68</v>
      </c>
      <c r="N20" s="23">
        <v>61</v>
      </c>
    </row>
    <row r="21" spans="3:14" ht="18.75" x14ac:dyDescent="0.25">
      <c r="C21" s="6" t="s">
        <v>44</v>
      </c>
      <c r="D21" s="6" t="s">
        <v>45</v>
      </c>
      <c r="E21" s="18">
        <v>0</v>
      </c>
      <c r="F21" s="18">
        <v>3</v>
      </c>
      <c r="G21" s="4">
        <v>0</v>
      </c>
      <c r="H21" s="11">
        <f t="shared" si="0"/>
        <v>3</v>
      </c>
      <c r="I21" s="18">
        <v>3</v>
      </c>
      <c r="J21" s="18">
        <v>20</v>
      </c>
      <c r="K21" s="4">
        <v>0</v>
      </c>
      <c r="L21" s="13">
        <f t="shared" si="1"/>
        <v>23</v>
      </c>
      <c r="M21" s="18">
        <v>24</v>
      </c>
      <c r="N21" s="18">
        <v>10</v>
      </c>
    </row>
    <row r="22" spans="3:14" ht="18.75" x14ac:dyDescent="0.25">
      <c r="C22" s="6" t="s">
        <v>46</v>
      </c>
      <c r="D22" s="6" t="s">
        <v>47</v>
      </c>
      <c r="E22" s="18">
        <v>9</v>
      </c>
      <c r="F22" s="18">
        <v>10</v>
      </c>
      <c r="G22" s="4">
        <v>0</v>
      </c>
      <c r="H22" s="11">
        <f t="shared" si="0"/>
        <v>19</v>
      </c>
      <c r="I22" s="18">
        <v>4</v>
      </c>
      <c r="J22" s="18">
        <v>8</v>
      </c>
      <c r="K22" s="4">
        <v>0</v>
      </c>
      <c r="L22" s="13">
        <f t="shared" si="1"/>
        <v>12</v>
      </c>
      <c r="M22" s="18">
        <v>7</v>
      </c>
      <c r="N22" s="18">
        <v>7</v>
      </c>
    </row>
    <row r="23" spans="3:14" ht="18.75" x14ac:dyDescent="0.25">
      <c r="C23" s="6" t="s">
        <v>48</v>
      </c>
      <c r="D23" s="6" t="s">
        <v>49</v>
      </c>
      <c r="E23" s="18">
        <v>0</v>
      </c>
      <c r="F23" s="18">
        <v>7</v>
      </c>
      <c r="G23" s="4">
        <v>0</v>
      </c>
      <c r="H23" s="11">
        <f t="shared" si="0"/>
        <v>7</v>
      </c>
      <c r="I23" s="18">
        <v>1</v>
      </c>
      <c r="J23" s="18">
        <v>27</v>
      </c>
      <c r="K23" s="4">
        <v>0</v>
      </c>
      <c r="L23" s="13">
        <f t="shared" si="1"/>
        <v>28</v>
      </c>
      <c r="M23" s="18">
        <v>80</v>
      </c>
      <c r="N23" s="18">
        <v>82</v>
      </c>
    </row>
    <row r="24" spans="3:14" ht="18.75" x14ac:dyDescent="0.25">
      <c r="C24" s="6" t="s">
        <v>50</v>
      </c>
      <c r="D24" s="6" t="s">
        <v>51</v>
      </c>
      <c r="E24" s="18">
        <v>6</v>
      </c>
      <c r="F24" s="18">
        <v>15</v>
      </c>
      <c r="G24" s="4">
        <v>0</v>
      </c>
      <c r="H24" s="11">
        <f t="shared" si="0"/>
        <v>21</v>
      </c>
      <c r="I24" s="18">
        <v>1</v>
      </c>
      <c r="J24" s="18">
        <v>6</v>
      </c>
      <c r="K24" s="4">
        <v>0</v>
      </c>
      <c r="L24" s="13">
        <f t="shared" si="1"/>
        <v>7</v>
      </c>
      <c r="M24" s="18">
        <v>9</v>
      </c>
      <c r="N24" s="18">
        <v>35</v>
      </c>
    </row>
    <row r="25" spans="3:14" ht="18.75" x14ac:dyDescent="0.25">
      <c r="C25" s="6" t="s">
        <v>52</v>
      </c>
      <c r="D25" s="6" t="s">
        <v>53</v>
      </c>
      <c r="E25" s="18">
        <v>4</v>
      </c>
      <c r="F25" s="18">
        <v>7</v>
      </c>
      <c r="G25" s="4">
        <v>0</v>
      </c>
      <c r="H25" s="11">
        <f t="shared" si="0"/>
        <v>11</v>
      </c>
      <c r="I25" s="18">
        <v>9</v>
      </c>
      <c r="J25" s="18">
        <v>45</v>
      </c>
      <c r="K25" s="4">
        <v>0</v>
      </c>
      <c r="L25" s="13">
        <f t="shared" si="1"/>
        <v>54</v>
      </c>
      <c r="M25" s="18">
        <v>34</v>
      </c>
      <c r="N25" s="18">
        <v>44</v>
      </c>
    </row>
    <row r="26" spans="3:14" ht="18.75" x14ac:dyDescent="0.25">
      <c r="C26" s="6" t="s">
        <v>54</v>
      </c>
      <c r="D26" s="6" t="s">
        <v>55</v>
      </c>
      <c r="E26" s="18">
        <v>3</v>
      </c>
      <c r="F26" s="18">
        <v>7</v>
      </c>
      <c r="G26" s="4">
        <v>0</v>
      </c>
      <c r="H26" s="11">
        <f t="shared" si="0"/>
        <v>10</v>
      </c>
      <c r="I26" s="18">
        <v>6</v>
      </c>
      <c r="J26" s="18">
        <v>29</v>
      </c>
      <c r="K26" s="4">
        <v>0</v>
      </c>
      <c r="L26" s="13">
        <f t="shared" si="1"/>
        <v>35</v>
      </c>
      <c r="M26" s="18">
        <v>33</v>
      </c>
      <c r="N26" s="18">
        <v>31</v>
      </c>
    </row>
    <row r="27" spans="3:14" ht="18.75" x14ac:dyDescent="0.25">
      <c r="C27" s="21" t="s">
        <v>56</v>
      </c>
      <c r="D27" s="21" t="s">
        <v>57</v>
      </c>
      <c r="E27" s="23">
        <v>2</v>
      </c>
      <c r="F27" s="23">
        <v>2</v>
      </c>
      <c r="G27" s="20">
        <v>0</v>
      </c>
      <c r="H27" s="11">
        <f t="shared" si="0"/>
        <v>4</v>
      </c>
      <c r="I27" s="23">
        <v>4</v>
      </c>
      <c r="J27" s="23">
        <v>24</v>
      </c>
      <c r="K27" s="20">
        <v>0</v>
      </c>
      <c r="L27" s="13">
        <f>I27+J27+K27</f>
        <v>28</v>
      </c>
      <c r="M27" s="23">
        <v>10</v>
      </c>
      <c r="N27" s="23">
        <v>31</v>
      </c>
    </row>
    <row r="28" spans="3:14" ht="18.75" x14ac:dyDescent="0.25">
      <c r="C28" s="21" t="s">
        <v>58</v>
      </c>
      <c r="D28" s="21" t="s">
        <v>59</v>
      </c>
      <c r="E28" s="23">
        <v>1</v>
      </c>
      <c r="F28" s="23">
        <v>6</v>
      </c>
      <c r="G28" s="20">
        <v>0</v>
      </c>
      <c r="H28" s="11">
        <f t="shared" si="0"/>
        <v>7</v>
      </c>
      <c r="I28" s="23">
        <v>0</v>
      </c>
      <c r="J28" s="23">
        <v>24</v>
      </c>
      <c r="K28" s="20">
        <v>0</v>
      </c>
      <c r="L28" s="13">
        <f>I28+J28+K28</f>
        <v>24</v>
      </c>
      <c r="M28" s="23">
        <v>15</v>
      </c>
      <c r="N28" s="23">
        <v>60</v>
      </c>
    </row>
    <row r="29" spans="3:14" ht="18.75" x14ac:dyDescent="0.25">
      <c r="C29" s="21" t="s">
        <v>60</v>
      </c>
      <c r="D29" s="21" t="s">
        <v>61</v>
      </c>
      <c r="E29" s="18">
        <v>0</v>
      </c>
      <c r="F29" s="18">
        <v>26</v>
      </c>
      <c r="G29" s="4">
        <v>0</v>
      </c>
      <c r="H29" s="11">
        <f t="shared" si="0"/>
        <v>26</v>
      </c>
      <c r="I29" s="18">
        <v>0</v>
      </c>
      <c r="J29" s="18">
        <v>29</v>
      </c>
      <c r="K29" s="4">
        <v>0</v>
      </c>
      <c r="L29" s="13">
        <f t="shared" ref="L29:L41" si="2">I29+J29+K29</f>
        <v>29</v>
      </c>
      <c r="M29" s="18">
        <v>149</v>
      </c>
      <c r="N29" s="18">
        <v>149</v>
      </c>
    </row>
    <row r="30" spans="3:14" ht="18.75" x14ac:dyDescent="0.25">
      <c r="C30" s="21" t="s">
        <v>62</v>
      </c>
      <c r="D30" s="21" t="s">
        <v>63</v>
      </c>
      <c r="E30" s="23">
        <v>3</v>
      </c>
      <c r="F30" s="23">
        <v>1</v>
      </c>
      <c r="G30" s="20">
        <v>0</v>
      </c>
      <c r="H30" s="11">
        <f t="shared" si="0"/>
        <v>4</v>
      </c>
      <c r="I30" s="23">
        <v>2</v>
      </c>
      <c r="J30" s="23">
        <v>16</v>
      </c>
      <c r="K30" s="20">
        <v>0</v>
      </c>
      <c r="L30" s="13">
        <f t="shared" si="2"/>
        <v>18</v>
      </c>
      <c r="M30" s="23">
        <v>13</v>
      </c>
      <c r="N30" s="23">
        <v>55</v>
      </c>
    </row>
    <row r="31" spans="3:14" ht="18.75" x14ac:dyDescent="0.25">
      <c r="C31" s="6" t="s">
        <v>64</v>
      </c>
      <c r="D31" s="6" t="s">
        <v>65</v>
      </c>
      <c r="E31" s="18">
        <v>2</v>
      </c>
      <c r="F31" s="18">
        <v>8</v>
      </c>
      <c r="G31" s="4">
        <v>0</v>
      </c>
      <c r="H31" s="11">
        <f t="shared" si="0"/>
        <v>10</v>
      </c>
      <c r="I31" s="18">
        <v>0</v>
      </c>
      <c r="J31" s="18">
        <v>40</v>
      </c>
      <c r="K31" s="4">
        <v>0</v>
      </c>
      <c r="L31" s="13">
        <f t="shared" si="2"/>
        <v>40</v>
      </c>
      <c r="M31" s="18">
        <v>19</v>
      </c>
      <c r="N31" s="18">
        <v>21</v>
      </c>
    </row>
    <row r="32" spans="3:14" ht="18.75" x14ac:dyDescent="0.25">
      <c r="C32" s="6" t="s">
        <v>66</v>
      </c>
      <c r="D32" s="6" t="s">
        <v>67</v>
      </c>
      <c r="E32" s="18">
        <v>2</v>
      </c>
      <c r="F32" s="18">
        <v>3</v>
      </c>
      <c r="G32" s="4">
        <v>0</v>
      </c>
      <c r="H32" s="11">
        <f t="shared" si="0"/>
        <v>5</v>
      </c>
      <c r="I32" s="18">
        <v>7</v>
      </c>
      <c r="J32" s="18">
        <v>30</v>
      </c>
      <c r="K32" s="4">
        <v>0</v>
      </c>
      <c r="L32" s="13">
        <f t="shared" si="2"/>
        <v>37</v>
      </c>
      <c r="M32" s="18">
        <v>11</v>
      </c>
      <c r="N32" s="18">
        <v>26</v>
      </c>
    </row>
    <row r="33" spans="3:14" ht="18.75" x14ac:dyDescent="0.25">
      <c r="C33" s="6" t="s">
        <v>68</v>
      </c>
      <c r="D33" s="6" t="s">
        <v>69</v>
      </c>
      <c r="E33" s="18">
        <v>3</v>
      </c>
      <c r="F33" s="18">
        <v>22</v>
      </c>
      <c r="G33" s="4">
        <v>0</v>
      </c>
      <c r="H33" s="11">
        <f t="shared" si="0"/>
        <v>25</v>
      </c>
      <c r="I33" s="18">
        <v>0</v>
      </c>
      <c r="J33" s="18">
        <v>10</v>
      </c>
      <c r="K33" s="4">
        <v>0</v>
      </c>
      <c r="L33" s="13">
        <f t="shared" si="2"/>
        <v>10</v>
      </c>
      <c r="M33" s="18">
        <v>16</v>
      </c>
      <c r="N33" s="18">
        <v>28</v>
      </c>
    </row>
    <row r="34" spans="3:14" ht="18.75" x14ac:dyDescent="0.25">
      <c r="C34" s="21" t="s">
        <v>70</v>
      </c>
      <c r="D34" s="21" t="s">
        <v>71</v>
      </c>
      <c r="E34" s="23">
        <v>3</v>
      </c>
      <c r="F34" s="23">
        <v>17</v>
      </c>
      <c r="G34" s="20">
        <v>0</v>
      </c>
      <c r="H34" s="11">
        <f t="shared" si="0"/>
        <v>20</v>
      </c>
      <c r="I34" s="23">
        <v>9</v>
      </c>
      <c r="J34" s="23">
        <v>21</v>
      </c>
      <c r="K34" s="20">
        <v>0</v>
      </c>
      <c r="L34" s="13">
        <f t="shared" si="2"/>
        <v>30</v>
      </c>
      <c r="M34" s="23">
        <v>4</v>
      </c>
      <c r="N34" s="23">
        <v>18</v>
      </c>
    </row>
    <row r="35" spans="3:14" ht="18.75" x14ac:dyDescent="0.25">
      <c r="C35" s="6" t="s">
        <v>72</v>
      </c>
      <c r="D35" s="6" t="s">
        <v>91</v>
      </c>
      <c r="E35" s="18">
        <v>1</v>
      </c>
      <c r="F35" s="18">
        <v>11</v>
      </c>
      <c r="G35" s="4">
        <v>0</v>
      </c>
      <c r="H35" s="11">
        <f t="shared" si="0"/>
        <v>12</v>
      </c>
      <c r="I35" s="18">
        <v>0</v>
      </c>
      <c r="J35" s="18">
        <v>1</v>
      </c>
      <c r="K35" s="4">
        <v>0</v>
      </c>
      <c r="L35" s="13">
        <f t="shared" si="2"/>
        <v>1</v>
      </c>
      <c r="M35" s="18">
        <v>3</v>
      </c>
      <c r="N35" s="18">
        <v>6</v>
      </c>
    </row>
    <row r="36" spans="3:14" ht="18.75" x14ac:dyDescent="0.25">
      <c r="C36" s="21" t="s">
        <v>74</v>
      </c>
      <c r="D36" s="21" t="s">
        <v>75</v>
      </c>
      <c r="E36" s="23">
        <v>3</v>
      </c>
      <c r="F36" s="23">
        <v>17</v>
      </c>
      <c r="G36" s="20">
        <v>0</v>
      </c>
      <c r="H36" s="11">
        <f t="shared" si="0"/>
        <v>20</v>
      </c>
      <c r="I36" s="23">
        <v>0</v>
      </c>
      <c r="J36" s="23">
        <v>31</v>
      </c>
      <c r="K36" s="20">
        <v>0</v>
      </c>
      <c r="L36" s="13">
        <f t="shared" si="2"/>
        <v>31</v>
      </c>
      <c r="M36" s="23">
        <v>6</v>
      </c>
      <c r="N36" s="23">
        <v>48</v>
      </c>
    </row>
    <row r="37" spans="3:14" ht="18.75" x14ac:dyDescent="0.25">
      <c r="C37" s="6" t="s">
        <v>76</v>
      </c>
      <c r="D37" s="6" t="s">
        <v>77</v>
      </c>
      <c r="E37" s="18">
        <v>1</v>
      </c>
      <c r="F37" s="18">
        <v>5</v>
      </c>
      <c r="G37" s="4">
        <v>0</v>
      </c>
      <c r="H37" s="11">
        <f t="shared" si="0"/>
        <v>6</v>
      </c>
      <c r="I37" s="18">
        <v>1</v>
      </c>
      <c r="J37" s="18">
        <v>5</v>
      </c>
      <c r="K37" s="4">
        <v>0</v>
      </c>
      <c r="L37" s="13">
        <f t="shared" si="2"/>
        <v>6</v>
      </c>
      <c r="M37" s="18">
        <v>14</v>
      </c>
      <c r="N37" s="18">
        <v>56</v>
      </c>
    </row>
    <row r="38" spans="3:14" ht="18.75" x14ac:dyDescent="0.25">
      <c r="C38" s="6" t="s">
        <v>78</v>
      </c>
      <c r="D38" s="6" t="s">
        <v>79</v>
      </c>
      <c r="E38" s="18">
        <v>2</v>
      </c>
      <c r="F38" s="18">
        <v>9</v>
      </c>
      <c r="G38" s="4">
        <v>0</v>
      </c>
      <c r="H38" s="11">
        <f t="shared" si="0"/>
        <v>11</v>
      </c>
      <c r="I38" s="18">
        <v>0</v>
      </c>
      <c r="J38" s="18">
        <v>39</v>
      </c>
      <c r="K38" s="4">
        <v>0</v>
      </c>
      <c r="L38" s="13">
        <f t="shared" si="2"/>
        <v>39</v>
      </c>
      <c r="M38" s="18">
        <v>3</v>
      </c>
      <c r="N38" s="18">
        <v>16</v>
      </c>
    </row>
    <row r="39" spans="3:14" ht="18.75" x14ac:dyDescent="0.25">
      <c r="C39" s="6" t="s">
        <v>80</v>
      </c>
      <c r="D39" s="6" t="s">
        <v>81</v>
      </c>
      <c r="E39" s="18">
        <v>12</v>
      </c>
      <c r="F39" s="18">
        <v>5</v>
      </c>
      <c r="G39" s="4">
        <v>0</v>
      </c>
      <c r="H39" s="11">
        <f t="shared" si="0"/>
        <v>17</v>
      </c>
      <c r="I39" s="18">
        <v>2</v>
      </c>
      <c r="J39" s="18">
        <v>24</v>
      </c>
      <c r="K39" s="4">
        <v>0</v>
      </c>
      <c r="L39" s="13">
        <f t="shared" si="2"/>
        <v>26</v>
      </c>
      <c r="M39" s="18">
        <v>16</v>
      </c>
      <c r="N39" s="18">
        <v>84</v>
      </c>
    </row>
    <row r="40" spans="3:14" ht="18.75" x14ac:dyDescent="0.25">
      <c r="C40" s="6" t="s">
        <v>82</v>
      </c>
      <c r="D40" s="6" t="s">
        <v>83</v>
      </c>
      <c r="E40" s="18">
        <v>0</v>
      </c>
      <c r="F40" s="18">
        <v>1</v>
      </c>
      <c r="G40" s="4">
        <v>0</v>
      </c>
      <c r="H40" s="11">
        <f t="shared" si="0"/>
        <v>1</v>
      </c>
      <c r="I40" s="18">
        <v>0</v>
      </c>
      <c r="J40" s="18">
        <v>12</v>
      </c>
      <c r="K40" s="4">
        <v>0</v>
      </c>
      <c r="L40" s="13">
        <f t="shared" si="2"/>
        <v>12</v>
      </c>
      <c r="M40" s="18">
        <v>6</v>
      </c>
      <c r="N40" s="18">
        <v>8</v>
      </c>
    </row>
    <row r="41" spans="3:14" ht="18.75" x14ac:dyDescent="0.25">
      <c r="C41" s="44" t="s">
        <v>84</v>
      </c>
      <c r="D41" s="44"/>
      <c r="E41" s="2">
        <v>133</v>
      </c>
      <c r="F41" s="2">
        <v>333</v>
      </c>
      <c r="G41" s="2">
        <v>0</v>
      </c>
      <c r="H41" s="7">
        <f t="shared" si="0"/>
        <v>466</v>
      </c>
      <c r="I41" s="2">
        <v>90</v>
      </c>
      <c r="J41" s="2">
        <v>793</v>
      </c>
      <c r="K41" s="2">
        <v>0</v>
      </c>
      <c r="L41" s="7">
        <f t="shared" si="2"/>
        <v>883</v>
      </c>
      <c r="M41" s="2">
        <v>772</v>
      </c>
      <c r="N41" s="2">
        <v>1414</v>
      </c>
    </row>
  </sheetData>
  <mergeCells count="5">
    <mergeCell ref="C4:C5"/>
    <mergeCell ref="E4:G4"/>
    <mergeCell ref="I4:K4"/>
    <mergeCell ref="M4:N4"/>
    <mergeCell ref="C41:D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Ian26</vt:lpstr>
      <vt:lpstr>Feb26</vt:lpstr>
      <vt:lpstr>Ian25</vt:lpstr>
      <vt:lpstr>Feb25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Eva-Mădălina Arseni</dc:creator>
  <cp:lastModifiedBy>Cristi Crudu</cp:lastModifiedBy>
  <dcterms:created xsi:type="dcterms:W3CDTF">2026-03-09T19:33:29Z</dcterms:created>
  <dcterms:modified xsi:type="dcterms:W3CDTF">2026-03-10T18:30:34Z</dcterms:modified>
</cp:coreProperties>
</file>